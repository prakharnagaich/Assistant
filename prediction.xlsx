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rakhar\Desktop\AICode\"/>
    </mc:Choice>
  </mc:AlternateContent>
  <xr:revisionPtr revIDLastSave="0" documentId="13_ncr:1_{05247F8A-9433-44AD-B1FD-850D328E658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ntry" sheetId="1" r:id="rId1"/>
    <sheet name="Sheet1" sheetId="2" state="hidden" r:id="rId2"/>
    <sheet name="Data Dump" sheetId="3" r:id="rId3"/>
    <sheet name="abcd (2)" sheetId="12" r:id="rId4"/>
    <sheet name="Data" sheetId="4" r:id="rId5"/>
    <sheet name="Info" sheetId="5" r:id="rId6"/>
    <sheet name="Close Outcome" sheetId="6" r:id="rId7"/>
    <sheet name="Long" sheetId="7" r:id="rId8"/>
    <sheet name="day strategy" sheetId="8" r:id="rId9"/>
  </sheets>
  <definedNames>
    <definedName name="_xlnm._FilterDatabase" localSheetId="6" hidden="1">'Close Outcome'!$A$1:$V$30</definedName>
    <definedName name="_xlnm._FilterDatabase" localSheetId="4" hidden="1">Data!$A$1:$V$81</definedName>
    <definedName name="_xlnm._FilterDatabase" localSheetId="0" hidden="1">Entry!$A$1:$F$24</definedName>
    <definedName name="ExternalData_2" localSheetId="3" hidden="1">'abcd (2)'!$A$1:$W$4</definedName>
    <definedName name="_xlnm.Print_Area" localSheetId="6">'Close Outcome'!$A$1:$AF$35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abcd  2_80dbce1b-78ab-44bf-8579-f8fdbf4c3174" name="abcd  2" connection="Query - abcd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6" l="1"/>
  <c r="A17" i="6"/>
  <c r="H51" i="5"/>
  <c r="T48" i="5"/>
  <c r="T47" i="5"/>
  <c r="T46" i="5"/>
  <c r="T45" i="5"/>
  <c r="T44" i="5"/>
  <c r="T43" i="5"/>
  <c r="T42" i="5"/>
  <c r="T41" i="5"/>
  <c r="T40" i="5"/>
  <c r="T39" i="5"/>
  <c r="H39" i="5"/>
  <c r="B50" i="4"/>
  <c r="B60" i="4" s="1"/>
  <c r="B70" i="4" s="1"/>
  <c r="B31" i="4"/>
  <c r="B41" i="4" s="1"/>
  <c r="C30" i="4"/>
  <c r="B30" i="4"/>
  <c r="B40" i="4" s="1"/>
  <c r="C40" i="4" s="1"/>
  <c r="C29" i="4"/>
  <c r="B29" i="4"/>
  <c r="B39" i="4" s="1"/>
  <c r="B24" i="4"/>
  <c r="B34" i="4" s="1"/>
  <c r="C23" i="4"/>
  <c r="B23" i="4"/>
  <c r="B33" i="4" s="1"/>
  <c r="C33" i="4" s="1"/>
  <c r="B22" i="4"/>
  <c r="B21" i="4"/>
  <c r="C21" i="4" s="1"/>
  <c r="B20" i="4"/>
  <c r="C20" i="4" s="1"/>
  <c r="B19" i="4"/>
  <c r="C19" i="4" s="1"/>
  <c r="B18" i="4"/>
  <c r="B28" i="4" s="1"/>
  <c r="C28" i="4" s="1"/>
  <c r="B17" i="4"/>
  <c r="B27" i="4" s="1"/>
  <c r="B16" i="4"/>
  <c r="B15" i="4"/>
  <c r="C14" i="4"/>
  <c r="B14" i="4"/>
  <c r="B13" i="4"/>
  <c r="C13" i="4" s="1"/>
  <c r="B12" i="4"/>
  <c r="C12" i="4" s="1"/>
  <c r="C11" i="4"/>
  <c r="C10" i="4"/>
  <c r="C9" i="4"/>
  <c r="C8" i="4"/>
  <c r="C7" i="4"/>
  <c r="C6" i="4"/>
  <c r="C5" i="4"/>
  <c r="C4" i="4"/>
  <c r="C3" i="4"/>
  <c r="C2" i="4"/>
  <c r="A18" i="1"/>
  <c r="AC41" i="5" s="1"/>
  <c r="A14" i="1"/>
  <c r="A12" i="1"/>
  <c r="A2" i="1"/>
  <c r="A1" i="5" s="1"/>
  <c r="V19" i="5" l="1"/>
  <c r="D6" i="1"/>
  <c r="O1" i="5"/>
  <c r="V1" i="5"/>
  <c r="A19" i="5"/>
  <c r="C17" i="4"/>
  <c r="AC40" i="5"/>
  <c r="C22" i="4"/>
  <c r="B32" i="4"/>
  <c r="C27" i="4"/>
  <c r="B37" i="4"/>
  <c r="B80" i="4"/>
  <c r="C70" i="4"/>
  <c r="C31" i="4"/>
  <c r="D7" i="1"/>
  <c r="D8" i="1" s="1"/>
  <c r="D9" i="1" s="1"/>
  <c r="D10" i="1" s="1"/>
  <c r="D11" i="1" s="1"/>
  <c r="D5" i="1"/>
  <c r="D4" i="1" s="1"/>
  <c r="D3" i="1" s="1"/>
  <c r="D2" i="1" s="1"/>
  <c r="C41" i="4"/>
  <c r="B51" i="4"/>
  <c r="AC44" i="5"/>
  <c r="AC48" i="5"/>
  <c r="AC46" i="5"/>
  <c r="AC43" i="5"/>
  <c r="AC45" i="5"/>
  <c r="AC39" i="5"/>
  <c r="AC47" i="5"/>
  <c r="AC42" i="5"/>
  <c r="B38" i="4"/>
  <c r="C34" i="4"/>
  <c r="B44" i="4"/>
  <c r="C15" i="4"/>
  <c r="B25" i="4"/>
  <c r="C24" i="4"/>
  <c r="B43" i="4"/>
  <c r="C60" i="4"/>
  <c r="C50" i="4"/>
  <c r="O19" i="5"/>
  <c r="H19" i="5"/>
  <c r="AC1" i="5"/>
  <c r="L6" i="3"/>
  <c r="K43" i="5"/>
  <c r="AC19" i="5"/>
  <c r="H1" i="5"/>
  <c r="C16" i="4"/>
  <c r="B26" i="4"/>
  <c r="C39" i="4"/>
  <c r="B49" i="4"/>
  <c r="C18" i="4"/>
  <c r="B6" i="3" l="1"/>
  <c r="S6" i="3"/>
  <c r="D6" i="3"/>
  <c r="U6" i="3"/>
  <c r="C6" i="3"/>
  <c r="T6" i="3"/>
  <c r="E6" i="3"/>
  <c r="V6" i="3"/>
  <c r="B59" i="4"/>
  <c r="C49" i="4"/>
  <c r="C51" i="4"/>
  <c r="B61" i="4"/>
  <c r="S43" i="5"/>
  <c r="K42" i="5"/>
  <c r="N43" i="5"/>
  <c r="K44" i="5"/>
  <c r="AO43" i="5"/>
  <c r="U43" i="5"/>
  <c r="C43" i="4"/>
  <c r="B53" i="4"/>
  <c r="C26" i="4"/>
  <c r="B36" i="4"/>
  <c r="B42" i="4"/>
  <c r="C32" i="4"/>
  <c r="B47" i="4"/>
  <c r="C37" i="4"/>
  <c r="B54" i="4"/>
  <c r="C44" i="4"/>
  <c r="L7" i="3"/>
  <c r="L5" i="3"/>
  <c r="B48" i="4"/>
  <c r="C38" i="4"/>
  <c r="B35" i="4"/>
  <c r="C25" i="4"/>
  <c r="C80" i="4"/>
  <c r="B90" i="4"/>
  <c r="B5" i="3" l="1"/>
  <c r="S5" i="3"/>
  <c r="V5" i="3"/>
  <c r="C5" i="3"/>
  <c r="T5" i="3"/>
  <c r="D5" i="3"/>
  <c r="U5" i="3"/>
  <c r="E5" i="3"/>
  <c r="B7" i="3"/>
  <c r="T7" i="3"/>
  <c r="D7" i="3"/>
  <c r="U7" i="3"/>
  <c r="E7" i="3"/>
  <c r="V7" i="3"/>
  <c r="S7" i="3"/>
  <c r="C7" i="3"/>
  <c r="B64" i="4"/>
  <c r="C54" i="4"/>
  <c r="B57" i="4"/>
  <c r="C47" i="4"/>
  <c r="K41" i="5"/>
  <c r="AO42" i="5"/>
  <c r="S42" i="5"/>
  <c r="N42" i="5"/>
  <c r="U42" i="5"/>
  <c r="B58" i="4"/>
  <c r="C48" i="4"/>
  <c r="C53" i="4"/>
  <c r="B63" i="4"/>
  <c r="B71" i="4"/>
  <c r="C61" i="4"/>
  <c r="C90" i="4"/>
  <c r="B100" i="4"/>
  <c r="C59" i="4"/>
  <c r="B69" i="4"/>
  <c r="AO44" i="5"/>
  <c r="N44" i="5"/>
  <c r="K45" i="5"/>
  <c r="S44" i="5"/>
  <c r="U44" i="5"/>
  <c r="L8" i="3"/>
  <c r="C36" i="4"/>
  <c r="B46" i="4"/>
  <c r="C35" i="4"/>
  <c r="B45" i="4"/>
  <c r="L4" i="3"/>
  <c r="C42" i="4"/>
  <c r="B52" i="4"/>
  <c r="S4" i="3" l="1"/>
  <c r="C4" i="3"/>
  <c r="D4" i="3"/>
  <c r="U4" i="3"/>
  <c r="E4" i="3"/>
  <c r="V4" i="3"/>
  <c r="B4" i="3"/>
  <c r="T4" i="3"/>
  <c r="B8" i="3"/>
  <c r="S8" i="3"/>
  <c r="D8" i="3"/>
  <c r="U8" i="3"/>
  <c r="E8" i="3"/>
  <c r="C8" i="3"/>
  <c r="T8" i="3"/>
  <c r="V8" i="3"/>
  <c r="C52" i="4"/>
  <c r="B62" i="4"/>
  <c r="C45" i="4"/>
  <c r="B55" i="4"/>
  <c r="AO41" i="5"/>
  <c r="S41" i="5"/>
  <c r="K40" i="5"/>
  <c r="N41" i="5"/>
  <c r="U41" i="5"/>
  <c r="L3" i="3"/>
  <c r="S45" i="5"/>
  <c r="K46" i="5"/>
  <c r="AO45" i="5"/>
  <c r="N45" i="5"/>
  <c r="U45" i="5"/>
  <c r="C71" i="4"/>
  <c r="B81" i="4"/>
  <c r="C64" i="4"/>
  <c r="B74" i="4"/>
  <c r="C57" i="4"/>
  <c r="B67" i="4"/>
  <c r="C58" i="4"/>
  <c r="B68" i="4"/>
  <c r="L9" i="3"/>
  <c r="B79" i="4"/>
  <c r="C69" i="4"/>
  <c r="B73" i="4"/>
  <c r="C63" i="4"/>
  <c r="C46" i="4"/>
  <c r="B56" i="4"/>
  <c r="B110" i="4"/>
  <c r="C100" i="4"/>
  <c r="B9" i="3" l="1"/>
  <c r="S9" i="3"/>
  <c r="V9" i="3"/>
  <c r="C9" i="3"/>
  <c r="T9" i="3"/>
  <c r="D9" i="3"/>
  <c r="U9" i="3"/>
  <c r="E9" i="3"/>
  <c r="B3" i="3"/>
  <c r="S3" i="3"/>
  <c r="U3" i="3"/>
  <c r="E3" i="3"/>
  <c r="V3" i="3"/>
  <c r="C3" i="3"/>
  <c r="T3" i="3"/>
  <c r="D3" i="3"/>
  <c r="C110" i="4"/>
  <c r="B120" i="4"/>
  <c r="B77" i="4"/>
  <c r="C67" i="4"/>
  <c r="B65" i="4"/>
  <c r="C55" i="4"/>
  <c r="L2" i="3"/>
  <c r="B91" i="4"/>
  <c r="C81" i="4"/>
  <c r="N46" i="5"/>
  <c r="S46" i="5"/>
  <c r="K47" i="5"/>
  <c r="AO46" i="5"/>
  <c r="U46" i="5"/>
  <c r="B78" i="4"/>
  <c r="C68" i="4"/>
  <c r="N40" i="5"/>
  <c r="S40" i="5"/>
  <c r="K39" i="5"/>
  <c r="AO40" i="5"/>
  <c r="U40" i="5"/>
  <c r="C79" i="4"/>
  <c r="B89" i="4"/>
  <c r="B66" i="4"/>
  <c r="C56" i="4"/>
  <c r="B72" i="4"/>
  <c r="C62" i="4"/>
  <c r="L10" i="3"/>
  <c r="C74" i="4"/>
  <c r="B84" i="4"/>
  <c r="C73" i="4"/>
  <c r="B83" i="4"/>
  <c r="S2" i="3" l="1"/>
  <c r="U2" i="3"/>
  <c r="D2" i="3"/>
  <c r="C2" i="3"/>
  <c r="B2" i="3"/>
  <c r="T2" i="3"/>
  <c r="V2" i="3"/>
  <c r="E2" i="3"/>
  <c r="S10" i="3"/>
  <c r="C10" i="3"/>
  <c r="D10" i="3"/>
  <c r="U10" i="3"/>
  <c r="E10" i="3"/>
  <c r="V10" i="3"/>
  <c r="B10" i="3"/>
  <c r="T10" i="3"/>
  <c r="C72" i="4"/>
  <c r="B82" i="4"/>
  <c r="AO39" i="5"/>
  <c r="N39" i="5"/>
  <c r="U39" i="5"/>
  <c r="B76" i="4"/>
  <c r="C66" i="4"/>
  <c r="B101" i="4"/>
  <c r="C91" i="4"/>
  <c r="C65" i="4"/>
  <c r="B75" i="4"/>
  <c r="C83" i="4"/>
  <c r="B93" i="4"/>
  <c r="L11" i="3"/>
  <c r="C77" i="4"/>
  <c r="B87" i="4"/>
  <c r="B130" i="4"/>
  <c r="C120" i="4"/>
  <c r="B88" i="4"/>
  <c r="C78" i="4"/>
  <c r="C84" i="4"/>
  <c r="B94" i="4"/>
  <c r="C89" i="4"/>
  <c r="B99" i="4"/>
  <c r="N47" i="5"/>
  <c r="K48" i="5"/>
  <c r="AO47" i="5"/>
  <c r="S47" i="5"/>
  <c r="U47" i="5"/>
  <c r="B11" i="3" l="1"/>
  <c r="S11" i="3"/>
  <c r="C11" i="3"/>
  <c r="T11" i="3"/>
  <c r="D11" i="3"/>
  <c r="V11" i="3"/>
  <c r="U11" i="3"/>
  <c r="E11" i="3"/>
  <c r="C87" i="4"/>
  <c r="B97" i="4"/>
  <c r="B86" i="4"/>
  <c r="C76" i="4"/>
  <c r="Z6" i="5" s="1"/>
  <c r="V45" i="5"/>
  <c r="B103" i="4"/>
  <c r="C93" i="4"/>
  <c r="C75" i="4"/>
  <c r="B85" i="4"/>
  <c r="B104" i="4"/>
  <c r="C94" i="4"/>
  <c r="C101" i="4"/>
  <c r="B111" i="4"/>
  <c r="B92" i="4"/>
  <c r="C82" i="4"/>
  <c r="F51" i="5"/>
  <c r="F52" i="5"/>
  <c r="B109" i="4"/>
  <c r="C99" i="4"/>
  <c r="C130" i="4"/>
  <c r="B140" i="4"/>
  <c r="AO48" i="5"/>
  <c r="U48" i="5"/>
  <c r="N48" i="5"/>
  <c r="C88" i="4"/>
  <c r="B98" i="4"/>
  <c r="A24" i="1" l="1"/>
  <c r="H53" i="5" s="1"/>
  <c r="A4" i="1"/>
  <c r="H40" i="5" s="1"/>
  <c r="Z23" i="5"/>
  <c r="B9" i="5"/>
  <c r="I23" i="5"/>
  <c r="E5" i="5"/>
  <c r="I9" i="5"/>
  <c r="Q7" i="5"/>
  <c r="B53" i="5"/>
  <c r="J27" i="5"/>
  <c r="J6" i="5"/>
  <c r="Q8" i="5"/>
  <c r="L23" i="5"/>
  <c r="X22" i="5"/>
  <c r="Y26" i="5"/>
  <c r="E23" i="5"/>
  <c r="L6" i="5"/>
  <c r="D27" i="5"/>
  <c r="L40" i="5"/>
  <c r="O40" i="5" s="1"/>
  <c r="D7" i="5"/>
  <c r="E26" i="5"/>
  <c r="C6" i="5"/>
  <c r="J5" i="5"/>
  <c r="M48" i="5"/>
  <c r="P48" i="5" s="1"/>
  <c r="E39" i="5"/>
  <c r="Y22" i="5"/>
  <c r="L7" i="5"/>
  <c r="J9" i="5"/>
  <c r="AE42" i="5"/>
  <c r="AG42" i="5" s="1"/>
  <c r="X6" i="5"/>
  <c r="C5" i="5"/>
  <c r="M42" i="5"/>
  <c r="P42" i="5" s="1"/>
  <c r="S5" i="5"/>
  <c r="L2" i="5"/>
  <c r="R2" i="5"/>
  <c r="Z2" i="5"/>
  <c r="C21" i="5"/>
  <c r="C24" i="5"/>
  <c r="F58" i="5"/>
  <c r="F56" i="5"/>
  <c r="E25" i="5"/>
  <c r="C58" i="5"/>
  <c r="X5" i="5"/>
  <c r="R26" i="5"/>
  <c r="S23" i="5"/>
  <c r="R25" i="5"/>
  <c r="C41" i="5"/>
  <c r="S3" i="5"/>
  <c r="J26" i="5"/>
  <c r="K4" i="5"/>
  <c r="C45" i="5"/>
  <c r="C54" i="5"/>
  <c r="F46" i="5"/>
  <c r="B21" i="5"/>
  <c r="P22" i="5"/>
  <c r="X3" i="5"/>
  <c r="P27" i="5"/>
  <c r="P6" i="5"/>
  <c r="D5" i="5"/>
  <c r="Q2" i="5"/>
  <c r="X24" i="5"/>
  <c r="E45" i="5"/>
  <c r="R20" i="5"/>
  <c r="E20" i="5"/>
  <c r="L22" i="5"/>
  <c r="B54" i="5"/>
  <c r="B42" i="5"/>
  <c r="J8" i="5"/>
  <c r="P4" i="5"/>
  <c r="Y5" i="5"/>
  <c r="B3" i="5"/>
  <c r="C25" i="5"/>
  <c r="J7" i="5"/>
  <c r="F53" i="5"/>
  <c r="L9" i="5"/>
  <c r="K2" i="5"/>
  <c r="E42" i="5"/>
  <c r="C51" i="5"/>
  <c r="I25" i="5"/>
  <c r="B5" i="5"/>
  <c r="J4" i="5"/>
  <c r="L3" i="5"/>
  <c r="E52" i="5"/>
  <c r="G52" i="5" s="1"/>
  <c r="V43" i="5"/>
  <c r="Z22" i="5"/>
  <c r="D24" i="5"/>
  <c r="I27" i="5"/>
  <c r="Z7" i="5"/>
  <c r="K3" i="5"/>
  <c r="R23" i="5"/>
  <c r="E55" i="5"/>
  <c r="J21" i="5"/>
  <c r="I2" i="5"/>
  <c r="D4" i="5"/>
  <c r="P26" i="5"/>
  <c r="J22" i="5"/>
  <c r="E4" i="5"/>
  <c r="C46" i="5"/>
  <c r="E51" i="5"/>
  <c r="G51" i="5" s="1"/>
  <c r="C40" i="5"/>
  <c r="E8" i="5"/>
  <c r="E58" i="5"/>
  <c r="S4" i="5"/>
  <c r="B7" i="5"/>
  <c r="K7" i="5"/>
  <c r="D20" i="5"/>
  <c r="L8" i="5"/>
  <c r="L27" i="5"/>
  <c r="P7" i="5"/>
  <c r="E41" i="5"/>
  <c r="F42" i="5"/>
  <c r="Z20" i="5"/>
  <c r="E40" i="5"/>
  <c r="Q26" i="5"/>
  <c r="L48" i="5"/>
  <c r="E24" i="5"/>
  <c r="C23" i="5"/>
  <c r="Z26" i="5"/>
  <c r="R8" i="5"/>
  <c r="M43" i="5"/>
  <c r="B22" i="5"/>
  <c r="Y2" i="5"/>
  <c r="R6" i="5"/>
  <c r="W27" i="5"/>
  <c r="K26" i="5"/>
  <c r="L5" i="5"/>
  <c r="D23" i="5"/>
  <c r="V46" i="5"/>
  <c r="F39" i="5"/>
  <c r="M44" i="5"/>
  <c r="S9" i="5"/>
  <c r="I4" i="5"/>
  <c r="P9" i="5"/>
  <c r="B96" i="4"/>
  <c r="C86" i="4"/>
  <c r="S27" i="5"/>
  <c r="C104" i="4"/>
  <c r="B114" i="4"/>
  <c r="S8" i="5"/>
  <c r="B39" i="5"/>
  <c r="J24" i="5"/>
  <c r="K21" i="5"/>
  <c r="E21" i="5"/>
  <c r="M47" i="5"/>
  <c r="S2" i="5"/>
  <c r="E9" i="5"/>
  <c r="S20" i="5"/>
  <c r="W21" i="5"/>
  <c r="E3" i="5"/>
  <c r="J3" i="5"/>
  <c r="L44" i="5"/>
  <c r="P3" i="5"/>
  <c r="R24" i="5"/>
  <c r="K6" i="5"/>
  <c r="L21" i="5"/>
  <c r="P21" i="5"/>
  <c r="C7" i="5"/>
  <c r="I5" i="5"/>
  <c r="D8" i="5"/>
  <c r="C85" i="4"/>
  <c r="B95" i="4"/>
  <c r="L20" i="5"/>
  <c r="V41" i="5"/>
  <c r="Y3" i="5"/>
  <c r="D25" i="5"/>
  <c r="S25" i="5"/>
  <c r="P23" i="5"/>
  <c r="Q3" i="5"/>
  <c r="B45" i="5"/>
  <c r="Q5" i="5"/>
  <c r="Y24" i="5"/>
  <c r="B2" i="5"/>
  <c r="C57" i="5"/>
  <c r="B119" i="4"/>
  <c r="C109" i="4"/>
  <c r="B25" i="5"/>
  <c r="S26" i="5"/>
  <c r="I22" i="5"/>
  <c r="Y6" i="5"/>
  <c r="AB6" i="5" s="1"/>
  <c r="B20" i="5"/>
  <c r="L41" i="5"/>
  <c r="W9" i="5"/>
  <c r="V17" i="6" s="1"/>
  <c r="I3" i="5"/>
  <c r="F45" i="5"/>
  <c r="P5" i="5"/>
  <c r="W6" i="5"/>
  <c r="E7" i="5"/>
  <c r="F55" i="5"/>
  <c r="AE46" i="5"/>
  <c r="E57" i="5"/>
  <c r="B55" i="5"/>
  <c r="Z4" i="5"/>
  <c r="X2" i="5"/>
  <c r="E54" i="5"/>
  <c r="L45" i="5"/>
  <c r="C39" i="5"/>
  <c r="B57" i="5"/>
  <c r="W20" i="5"/>
  <c r="U19" i="6" s="1"/>
  <c r="S7" i="5"/>
  <c r="C2" i="5"/>
  <c r="W2" i="5"/>
  <c r="U17" i="6" s="1"/>
  <c r="L39" i="5"/>
  <c r="Y27" i="5"/>
  <c r="V40" i="5"/>
  <c r="X27" i="5"/>
  <c r="K20" i="5"/>
  <c r="Z8" i="5"/>
  <c r="E56" i="5"/>
  <c r="Q25" i="5"/>
  <c r="J20" i="5"/>
  <c r="C97" i="4"/>
  <c r="B107" i="4"/>
  <c r="M46" i="5"/>
  <c r="F57" i="5"/>
  <c r="B44" i="5"/>
  <c r="B4" i="5"/>
  <c r="P20" i="5"/>
  <c r="V48" i="5"/>
  <c r="C4" i="5"/>
  <c r="Q23" i="5"/>
  <c r="B6" i="5"/>
  <c r="Q24" i="5"/>
  <c r="X20" i="5"/>
  <c r="B24" i="5"/>
  <c r="K27" i="5"/>
  <c r="V42" i="5"/>
  <c r="I6" i="5"/>
  <c r="R7" i="5"/>
  <c r="L26" i="5"/>
  <c r="S21" i="5"/>
  <c r="B46" i="5"/>
  <c r="B150" i="4"/>
  <c r="C140" i="4"/>
  <c r="X26" i="5"/>
  <c r="R27" i="5"/>
  <c r="W22" i="5"/>
  <c r="K8" i="5"/>
  <c r="Q4" i="5"/>
  <c r="L24" i="5"/>
  <c r="W5" i="5"/>
  <c r="X17" i="6" s="1"/>
  <c r="Z9" i="5"/>
  <c r="Z5" i="5"/>
  <c r="AE39" i="5"/>
  <c r="J2" i="5"/>
  <c r="W24" i="5"/>
  <c r="C44" i="5"/>
  <c r="C3" i="5"/>
  <c r="W3" i="5"/>
  <c r="M39" i="5"/>
  <c r="K22" i="5"/>
  <c r="Q6" i="5"/>
  <c r="B41" i="5"/>
  <c r="Q21" i="5"/>
  <c r="C9" i="5"/>
  <c r="AE40" i="5"/>
  <c r="E6" i="5"/>
  <c r="P24" i="5"/>
  <c r="Q20" i="5"/>
  <c r="C22" i="5"/>
  <c r="B52" i="5"/>
  <c r="X9" i="5"/>
  <c r="R9" i="5"/>
  <c r="C8" i="5"/>
  <c r="K9" i="5"/>
  <c r="C20" i="5"/>
  <c r="D2" i="5"/>
  <c r="C53" i="5"/>
  <c r="Z21" i="5"/>
  <c r="X25" i="5"/>
  <c r="C111" i="4"/>
  <c r="B121" i="4"/>
  <c r="P8" i="5"/>
  <c r="C103" i="4"/>
  <c r="B113" i="4"/>
  <c r="R3" i="5"/>
  <c r="E27" i="5"/>
  <c r="B40" i="5"/>
  <c r="F41" i="5"/>
  <c r="I7" i="5"/>
  <c r="E46" i="5"/>
  <c r="C42" i="5"/>
  <c r="C52" i="5"/>
  <c r="L4" i="5"/>
  <c r="D6" i="5"/>
  <c r="AE47" i="5"/>
  <c r="AE41" i="5"/>
  <c r="L43" i="5"/>
  <c r="Y23" i="5"/>
  <c r="I20" i="5"/>
  <c r="Y4" i="5"/>
  <c r="Y21" i="5"/>
  <c r="C27" i="5"/>
  <c r="C56" i="5"/>
  <c r="E43" i="5"/>
  <c r="Z25" i="5"/>
  <c r="C26" i="5"/>
  <c r="X8" i="5"/>
  <c r="B8" i="5"/>
  <c r="Q27" i="5"/>
  <c r="X23" i="5"/>
  <c r="AE43" i="5"/>
  <c r="W4" i="5"/>
  <c r="E2" i="5"/>
  <c r="K5" i="5"/>
  <c r="B23" i="5"/>
  <c r="C43" i="5"/>
  <c r="AE44" i="5"/>
  <c r="I21" i="5"/>
  <c r="F40" i="5"/>
  <c r="S6" i="5"/>
  <c r="P2" i="5"/>
  <c r="Y20" i="5"/>
  <c r="M40" i="5"/>
  <c r="B43" i="5"/>
  <c r="V39" i="5"/>
  <c r="X4" i="5"/>
  <c r="F43" i="5"/>
  <c r="P25" i="5"/>
  <c r="F44" i="5"/>
  <c r="L46" i="5"/>
  <c r="Y25" i="5"/>
  <c r="F54" i="5"/>
  <c r="L47" i="5"/>
  <c r="J23" i="5"/>
  <c r="W25" i="5"/>
  <c r="Z24" i="5"/>
  <c r="X45" i="5"/>
  <c r="W45" i="5"/>
  <c r="S24" i="5"/>
  <c r="B26" i="5"/>
  <c r="E53" i="5"/>
  <c r="R21" i="5"/>
  <c r="B27" i="5"/>
  <c r="Y9" i="5"/>
  <c r="D26" i="5"/>
  <c r="W7" i="5"/>
  <c r="K25" i="5"/>
  <c r="B56" i="5"/>
  <c r="K24" i="5"/>
  <c r="C98" i="4"/>
  <c r="B108" i="4"/>
  <c r="S22" i="5"/>
  <c r="X7" i="5"/>
  <c r="R4" i="5"/>
  <c r="W26" i="5"/>
  <c r="C55" i="5"/>
  <c r="E44" i="5"/>
  <c r="Q22" i="5"/>
  <c r="V47" i="5"/>
  <c r="L42" i="5"/>
  <c r="J25" i="5"/>
  <c r="I26" i="5"/>
  <c r="W8" i="5"/>
  <c r="E22" i="5"/>
  <c r="Y7" i="5"/>
  <c r="M41" i="5"/>
  <c r="B58" i="5"/>
  <c r="D3" i="5"/>
  <c r="M45" i="5"/>
  <c r="AE48" i="5"/>
  <c r="L25" i="5"/>
  <c r="AE45" i="5"/>
  <c r="X21" i="5"/>
  <c r="B51" i="5"/>
  <c r="B102" i="4"/>
  <c r="C92" i="4"/>
  <c r="K23" i="5"/>
  <c r="R5" i="5"/>
  <c r="R22" i="5"/>
  <c r="W23" i="5"/>
  <c r="I24" i="5"/>
  <c r="Z27" i="5"/>
  <c r="D21" i="5"/>
  <c r="Y8" i="5"/>
  <c r="Q9" i="5"/>
  <c r="Z3" i="5"/>
  <c r="I8" i="5"/>
  <c r="V44" i="5"/>
  <c r="D9" i="5"/>
  <c r="D22" i="5"/>
  <c r="AB23" i="5" l="1"/>
  <c r="F9" i="5"/>
  <c r="H58" i="5"/>
  <c r="H55" i="5"/>
  <c r="H52" i="5"/>
  <c r="H56" i="5"/>
  <c r="H54" i="5"/>
  <c r="G5" i="5"/>
  <c r="T7" i="5"/>
  <c r="H57" i="5"/>
  <c r="M9" i="5"/>
  <c r="AA22" i="5"/>
  <c r="H46" i="5"/>
  <c r="G19" i="6"/>
  <c r="H42" i="5"/>
  <c r="H45" i="5"/>
  <c r="H41" i="5"/>
  <c r="H43" i="5"/>
  <c r="H44" i="5"/>
  <c r="M23" i="5"/>
  <c r="D53" i="5"/>
  <c r="F8" i="5"/>
  <c r="M6" i="5"/>
  <c r="N23" i="5"/>
  <c r="M27" i="5"/>
  <c r="T8" i="5"/>
  <c r="G23" i="5"/>
  <c r="N6" i="5"/>
  <c r="AA6" i="5"/>
  <c r="G41" i="5"/>
  <c r="AB26" i="5"/>
  <c r="F6" i="5"/>
  <c r="N7" i="5"/>
  <c r="AB22" i="5"/>
  <c r="G45" i="5"/>
  <c r="M5" i="5"/>
  <c r="F5" i="5"/>
  <c r="G4" i="5"/>
  <c r="M26" i="5"/>
  <c r="D56" i="5"/>
  <c r="F4" i="5"/>
  <c r="T27" i="5"/>
  <c r="N24" i="5"/>
  <c r="AF42" i="5"/>
  <c r="AH42" i="5" s="1"/>
  <c r="AJ42" i="5" s="1"/>
  <c r="AB21" i="5"/>
  <c r="U2" i="5"/>
  <c r="F2" i="5"/>
  <c r="G2" i="5"/>
  <c r="U25" i="5"/>
  <c r="AB27" i="5"/>
  <c r="T22" i="5"/>
  <c r="G7" i="5"/>
  <c r="G39" i="5"/>
  <c r="M2" i="5"/>
  <c r="G26" i="5"/>
  <c r="AB24" i="5"/>
  <c r="U7" i="5"/>
  <c r="AB7" i="5"/>
  <c r="G20" i="5"/>
  <c r="G27" i="5"/>
  <c r="Z17" i="6"/>
  <c r="T23" i="5"/>
  <c r="AA24" i="5"/>
  <c r="G53" i="5"/>
  <c r="AB8" i="5"/>
  <c r="D52" i="5"/>
  <c r="T24" i="5"/>
  <c r="U26" i="5"/>
  <c r="M7" i="5"/>
  <c r="T2" i="5"/>
  <c r="AB2" i="5"/>
  <c r="AA21" i="5"/>
  <c r="M25" i="5"/>
  <c r="D43" i="5"/>
  <c r="AB25" i="5"/>
  <c r="N4" i="5"/>
  <c r="N26" i="5"/>
  <c r="F7" i="5"/>
  <c r="U9" i="5"/>
  <c r="D41" i="5"/>
  <c r="D58" i="5"/>
  <c r="M20" i="5"/>
  <c r="AB20" i="5"/>
  <c r="D57" i="5"/>
  <c r="G42" i="5"/>
  <c r="N9" i="5"/>
  <c r="G40" i="5"/>
  <c r="F24" i="5"/>
  <c r="AA8" i="5"/>
  <c r="D51" i="5"/>
  <c r="T20" i="5"/>
  <c r="D44" i="5"/>
  <c r="T3" i="5"/>
  <c r="N3" i="5"/>
  <c r="G57" i="5"/>
  <c r="D40" i="5"/>
  <c r="F21" i="5"/>
  <c r="G44" i="5"/>
  <c r="F26" i="5"/>
  <c r="U21" i="5"/>
  <c r="N27" i="5"/>
  <c r="F25" i="5"/>
  <c r="U3" i="5"/>
  <c r="AA4" i="5"/>
  <c r="D42" i="5"/>
  <c r="AA25" i="5"/>
  <c r="G21" i="5"/>
  <c r="Y45" i="5"/>
  <c r="Z45" i="5" s="1"/>
  <c r="AB45" i="5" s="1"/>
  <c r="C107" i="4"/>
  <c r="B117" i="4"/>
  <c r="O41" i="5"/>
  <c r="R41" i="5" s="1"/>
  <c r="V19" i="6"/>
  <c r="W19" i="6" s="1"/>
  <c r="AF46" i="5"/>
  <c r="AG46" i="5"/>
  <c r="C96" i="4"/>
  <c r="B106" i="4"/>
  <c r="D45" i="5"/>
  <c r="X19" i="6"/>
  <c r="Y19" i="6" s="1"/>
  <c r="G43" i="5"/>
  <c r="B131" i="4"/>
  <c r="C121" i="4"/>
  <c r="F22" i="5"/>
  <c r="F3" i="5"/>
  <c r="N21" i="5"/>
  <c r="D46" i="5"/>
  <c r="AF48" i="5"/>
  <c r="AG48" i="5"/>
  <c r="D39" i="5"/>
  <c r="X44" i="5"/>
  <c r="W44" i="5"/>
  <c r="P40" i="5"/>
  <c r="AF39" i="5"/>
  <c r="AG39" i="5"/>
  <c r="O44" i="5"/>
  <c r="AA7" i="5"/>
  <c r="G54" i="5"/>
  <c r="C119" i="4"/>
  <c r="B129" i="4"/>
  <c r="N20" i="5"/>
  <c r="M3" i="5"/>
  <c r="F23" i="5"/>
  <c r="M4" i="5"/>
  <c r="U23" i="5"/>
  <c r="U5" i="5"/>
  <c r="AG47" i="5"/>
  <c r="AF47" i="5"/>
  <c r="V16" i="6"/>
  <c r="AC16" i="6" s="1"/>
  <c r="AA9" i="5"/>
  <c r="P39" i="5"/>
  <c r="P47" i="5"/>
  <c r="P41" i="5"/>
  <c r="Q42" i="5" s="1"/>
  <c r="X39" i="5"/>
  <c r="W39" i="5"/>
  <c r="X43" i="5"/>
  <c r="W43" i="5"/>
  <c r="F27" i="5"/>
  <c r="G6" i="5"/>
  <c r="X48" i="5"/>
  <c r="W48" i="5"/>
  <c r="O45" i="5"/>
  <c r="X41" i="5"/>
  <c r="W41" i="5"/>
  <c r="U8" i="5"/>
  <c r="P44" i="5"/>
  <c r="N2" i="5"/>
  <c r="B112" i="4"/>
  <c r="C102" i="4"/>
  <c r="AB5" i="5"/>
  <c r="V18" i="6"/>
  <c r="AA27" i="5"/>
  <c r="AB3" i="5"/>
  <c r="U22" i="5"/>
  <c r="O47" i="5"/>
  <c r="AF43" i="5"/>
  <c r="AG43" i="5"/>
  <c r="F20" i="5"/>
  <c r="T21" i="5"/>
  <c r="AB9" i="5"/>
  <c r="W40" i="5"/>
  <c r="X40" i="5"/>
  <c r="U16" i="6"/>
  <c r="AA2" i="5"/>
  <c r="C95" i="4"/>
  <c r="B105" i="4"/>
  <c r="G3" i="5"/>
  <c r="X46" i="5"/>
  <c r="W46" i="5"/>
  <c r="G24" i="5"/>
  <c r="M21" i="5"/>
  <c r="M8" i="5"/>
  <c r="AA3" i="5"/>
  <c r="AF44" i="5"/>
  <c r="AG44" i="5"/>
  <c r="AA20" i="5"/>
  <c r="U18" i="6"/>
  <c r="AA18" i="6" s="1"/>
  <c r="W42" i="5"/>
  <c r="X42" i="5"/>
  <c r="AB4" i="5"/>
  <c r="C114" i="4"/>
  <c r="B124" i="4"/>
  <c r="O48" i="5"/>
  <c r="U4" i="5"/>
  <c r="G55" i="5"/>
  <c r="X16" i="6"/>
  <c r="AA5" i="5"/>
  <c r="P43" i="5"/>
  <c r="Q43" i="5" s="1"/>
  <c r="N8" i="5"/>
  <c r="T9" i="5"/>
  <c r="U24" i="5"/>
  <c r="U6" i="5"/>
  <c r="D55" i="5"/>
  <c r="T26" i="5"/>
  <c r="P45" i="5"/>
  <c r="AA26" i="5"/>
  <c r="B160" i="4"/>
  <c r="C160" i="4" s="1"/>
  <c r="C150" i="4"/>
  <c r="T25" i="5"/>
  <c r="G56" i="5"/>
  <c r="M24" i="5"/>
  <c r="M22" i="5"/>
  <c r="G22" i="5"/>
  <c r="AG40" i="5"/>
  <c r="AF40" i="5"/>
  <c r="B118" i="4"/>
  <c r="C108" i="4"/>
  <c r="AA23" i="5"/>
  <c r="X18" i="6"/>
  <c r="AG45" i="5"/>
  <c r="AF45" i="5"/>
  <c r="O42" i="5"/>
  <c r="O43" i="5"/>
  <c r="T6" i="5"/>
  <c r="P46" i="5"/>
  <c r="O39" i="5"/>
  <c r="R40" i="5" s="1"/>
  <c r="U20" i="5"/>
  <c r="N5" i="5"/>
  <c r="G58" i="5"/>
  <c r="D54" i="5"/>
  <c r="N25" i="5"/>
  <c r="X47" i="5"/>
  <c r="W47" i="5"/>
  <c r="O46" i="5"/>
  <c r="AF41" i="5"/>
  <c r="AG41" i="5"/>
  <c r="C113" i="4"/>
  <c r="B123" i="4"/>
  <c r="T4" i="5"/>
  <c r="Y17" i="6"/>
  <c r="W17" i="6"/>
  <c r="T5" i="5"/>
  <c r="G9" i="5"/>
  <c r="U27" i="5"/>
  <c r="G8" i="5"/>
  <c r="N22" i="5"/>
  <c r="G46" i="5"/>
  <c r="G25" i="5"/>
  <c r="H59" i="5" l="1"/>
  <c r="R43" i="5"/>
  <c r="H47" i="5"/>
  <c r="G47" i="5"/>
  <c r="G17" i="6"/>
  <c r="G59" i="5"/>
  <c r="D59" i="5"/>
  <c r="R44" i="5"/>
  <c r="Q45" i="5"/>
  <c r="R45" i="5"/>
  <c r="Q40" i="5"/>
  <c r="R42" i="5"/>
  <c r="Q44" i="5"/>
  <c r="AH40" i="5"/>
  <c r="AJ40" i="5" s="1"/>
  <c r="AI42" i="5"/>
  <c r="AK42" i="5" s="1"/>
  <c r="AL42" i="5" s="1"/>
  <c r="AN42" i="5" s="1"/>
  <c r="Y48" i="5"/>
  <c r="AA48" i="5" s="1"/>
  <c r="Y43" i="5"/>
  <c r="AA43" i="5" s="1"/>
  <c r="AA45" i="5"/>
  <c r="AD45" i="5" s="1"/>
  <c r="AM45" i="5" s="1"/>
  <c r="Y41" i="5"/>
  <c r="AA41" i="5" s="1"/>
  <c r="Y44" i="5"/>
  <c r="Z44" i="5" s="1"/>
  <c r="AB44" i="5" s="1"/>
  <c r="AH48" i="5"/>
  <c r="AJ48" i="5" s="1"/>
  <c r="Y46" i="5"/>
  <c r="AA46" i="5" s="1"/>
  <c r="Y47" i="5"/>
  <c r="Z47" i="5" s="1"/>
  <c r="AB47" i="5" s="1"/>
  <c r="AH45" i="5"/>
  <c r="AJ45" i="5" s="1"/>
  <c r="AA16" i="6"/>
  <c r="W16" i="6"/>
  <c r="AA17" i="6" s="1"/>
  <c r="Y16" i="6"/>
  <c r="AB17" i="6" s="1"/>
  <c r="Y40" i="5"/>
  <c r="AH46" i="5"/>
  <c r="C124" i="4"/>
  <c r="B134" i="4"/>
  <c r="Z18" i="6"/>
  <c r="AH43" i="5"/>
  <c r="C131" i="4"/>
  <c r="B141" i="4"/>
  <c r="R47" i="5"/>
  <c r="C129" i="4"/>
  <c r="B139" i="4"/>
  <c r="G18" i="6"/>
  <c r="D47" i="5"/>
  <c r="AH44" i="5"/>
  <c r="C106" i="4"/>
  <c r="B116" i="4"/>
  <c r="AH39" i="5"/>
  <c r="C112" i="4"/>
  <c r="B122" i="4"/>
  <c r="C123" i="4"/>
  <c r="B133" i="4"/>
  <c r="AC18" i="6"/>
  <c r="Q46" i="5"/>
  <c r="AH41" i="5"/>
  <c r="B128" i="4"/>
  <c r="C118" i="4"/>
  <c r="Y42" i="5"/>
  <c r="B115" i="4"/>
  <c r="C105" i="4"/>
  <c r="Y39" i="5"/>
  <c r="AH47" i="5"/>
  <c r="Z19" i="6"/>
  <c r="AB18" i="6"/>
  <c r="W18" i="6"/>
  <c r="AA19" i="6" s="1"/>
  <c r="Y18" i="6"/>
  <c r="AB19" i="6" s="1"/>
  <c r="B127" i="4"/>
  <c r="C117" i="4"/>
  <c r="Q41" i="5"/>
  <c r="R46" i="5"/>
  <c r="Q47" i="5"/>
  <c r="AB16" i="6"/>
  <c r="Z16" i="6"/>
  <c r="AC17" i="6" s="1"/>
  <c r="E19" i="6" l="1"/>
  <c r="E18" i="6"/>
  <c r="E17" i="6"/>
  <c r="R49" i="5"/>
  <c r="Q49" i="5"/>
  <c r="AC19" i="6"/>
  <c r="AI40" i="5"/>
  <c r="AK40" i="5" s="1"/>
  <c r="AL40" i="5" s="1"/>
  <c r="AN40" i="5" s="1"/>
  <c r="Z41" i="5"/>
  <c r="AB41" i="5" s="1"/>
  <c r="AD41" i="5" s="1"/>
  <c r="AM41" i="5" s="1"/>
  <c r="Z43" i="5"/>
  <c r="AB43" i="5" s="1"/>
  <c r="AD43" i="5" s="1"/>
  <c r="AM43" i="5" s="1"/>
  <c r="Z46" i="5"/>
  <c r="AB46" i="5" s="1"/>
  <c r="AD46" i="5" s="1"/>
  <c r="AM46" i="5" s="1"/>
  <c r="AA47" i="5"/>
  <c r="AD47" i="5" s="1"/>
  <c r="AM47" i="5" s="1"/>
  <c r="Z48" i="5"/>
  <c r="AB48" i="5" s="1"/>
  <c r="AD48" i="5" s="1"/>
  <c r="AM48" i="5" s="1"/>
  <c r="AI48" i="5"/>
  <c r="AK48" i="5" s="1"/>
  <c r="AL48" i="5" s="1"/>
  <c r="AN48" i="5" s="1"/>
  <c r="AA44" i="5"/>
  <c r="AD44" i="5" s="1"/>
  <c r="AM44" i="5" s="1"/>
  <c r="AI45" i="5"/>
  <c r="AK45" i="5" s="1"/>
  <c r="AL45" i="5" s="1"/>
  <c r="AN45" i="5" s="1"/>
  <c r="AJ41" i="5"/>
  <c r="AI41" i="5"/>
  <c r="AK41" i="5" s="1"/>
  <c r="AJ44" i="5"/>
  <c r="AI44" i="5"/>
  <c r="AK44" i="5" s="1"/>
  <c r="AI43" i="5"/>
  <c r="AK43" i="5" s="1"/>
  <c r="AJ43" i="5"/>
  <c r="AJ47" i="5"/>
  <c r="AI47" i="5"/>
  <c r="AK47" i="5" s="1"/>
  <c r="AI46" i="5"/>
  <c r="AK46" i="5" s="1"/>
  <c r="AJ46" i="5"/>
  <c r="B126" i="4"/>
  <c r="C116" i="4"/>
  <c r="B138" i="4"/>
  <c r="C128" i="4"/>
  <c r="C127" i="4"/>
  <c r="B137" i="4"/>
  <c r="AA39" i="5"/>
  <c r="Z39" i="5"/>
  <c r="AB39" i="5" s="1"/>
  <c r="B143" i="4"/>
  <c r="C133" i="4"/>
  <c r="B149" i="4"/>
  <c r="C139" i="4"/>
  <c r="Z40" i="5"/>
  <c r="AB40" i="5" s="1"/>
  <c r="AA40" i="5"/>
  <c r="B125" i="4"/>
  <c r="C115" i="4"/>
  <c r="B132" i="4"/>
  <c r="C122" i="4"/>
  <c r="B144" i="4"/>
  <c r="C134" i="4"/>
  <c r="Z42" i="5"/>
  <c r="AB42" i="5" s="1"/>
  <c r="AA42" i="5"/>
  <c r="B151" i="4"/>
  <c r="C141" i="4"/>
  <c r="AJ39" i="5"/>
  <c r="AI39" i="5"/>
  <c r="AK39" i="5" s="1"/>
  <c r="AD40" i="5" l="1"/>
  <c r="AM40" i="5" s="1"/>
  <c r="AL39" i="5"/>
  <c r="AN39" i="5" s="1"/>
  <c r="AL44" i="5"/>
  <c r="AN44" i="5" s="1"/>
  <c r="AL47" i="5"/>
  <c r="AN47" i="5" s="1"/>
  <c r="AD39" i="5"/>
  <c r="AM39" i="5" s="1"/>
  <c r="B142" i="4"/>
  <c r="C132" i="4"/>
  <c r="C137" i="4"/>
  <c r="B147" i="4"/>
  <c r="C143" i="4"/>
  <c r="B153" i="4"/>
  <c r="C153" i="4" s="1"/>
  <c r="AL46" i="5"/>
  <c r="AN46" i="5" s="1"/>
  <c r="C144" i="4"/>
  <c r="B154" i="4"/>
  <c r="C154" i="4" s="1"/>
  <c r="C125" i="4"/>
  <c r="B135" i="4"/>
  <c r="AL43" i="5"/>
  <c r="AN43" i="5" s="1"/>
  <c r="B148" i="4"/>
  <c r="C138" i="4"/>
  <c r="C151" i="4"/>
  <c r="B161" i="4"/>
  <c r="C161" i="4" s="1"/>
  <c r="AL41" i="5"/>
  <c r="AN41" i="5" s="1"/>
  <c r="AD42" i="5"/>
  <c r="AM42" i="5" s="1"/>
  <c r="C149" i="4"/>
  <c r="B159" i="4"/>
  <c r="C159" i="4" s="1"/>
  <c r="C126" i="4"/>
  <c r="B136" i="4"/>
  <c r="AN49" i="5" l="1"/>
  <c r="B20" i="6" s="1"/>
  <c r="B17" i="6" s="1"/>
  <c r="AM49" i="5"/>
  <c r="B21" i="6" s="1"/>
  <c r="B18" i="6" s="1"/>
  <c r="C135" i="4"/>
  <c r="B145" i="4"/>
  <c r="C136" i="4"/>
  <c r="B146" i="4"/>
  <c r="B157" i="4"/>
  <c r="C157" i="4" s="1"/>
  <c r="C147" i="4"/>
  <c r="B158" i="4"/>
  <c r="C158" i="4" s="1"/>
  <c r="C148" i="4"/>
  <c r="B152" i="4"/>
  <c r="C152" i="4" s="1"/>
  <c r="C142" i="4"/>
  <c r="C146" i="4" l="1"/>
  <c r="B156" i="4"/>
  <c r="C156" i="4" s="1"/>
  <c r="B155" i="4"/>
  <c r="C155" i="4" s="1"/>
  <c r="C145" i="4"/>
  <c r="AG28" i="5" s="1"/>
  <c r="AE8" i="5"/>
  <c r="AE20" i="5" l="1"/>
  <c r="J18" i="6" s="1"/>
  <c r="AD17" i="5"/>
  <c r="AE27" i="5"/>
  <c r="K18" i="6" s="1"/>
  <c r="AE30" i="5"/>
  <c r="AD5" i="5"/>
  <c r="M17" i="6" s="1"/>
  <c r="AE31" i="5"/>
  <c r="AD30" i="5"/>
  <c r="AE16" i="5"/>
  <c r="AG14" i="5"/>
  <c r="AD29" i="5"/>
  <c r="AG3" i="5"/>
  <c r="AE22" i="5"/>
  <c r="AG33" i="5"/>
  <c r="AF2" i="5"/>
  <c r="AF33" i="5"/>
  <c r="AG8" i="5"/>
  <c r="AE3" i="5"/>
  <c r="AD12" i="5"/>
  <c r="AG31" i="5"/>
  <c r="AF21" i="5"/>
  <c r="AD28" i="5"/>
  <c r="AG23" i="5"/>
  <c r="AE32" i="5"/>
  <c r="AF14" i="5"/>
  <c r="AF9" i="5"/>
  <c r="AD4" i="5"/>
  <c r="AG15" i="5"/>
  <c r="AD23" i="5"/>
  <c r="AE5" i="5"/>
  <c r="AD25" i="5"/>
  <c r="AD13" i="5"/>
  <c r="AE29" i="5"/>
  <c r="AG12" i="5"/>
  <c r="AG6" i="5"/>
  <c r="AD6" i="5"/>
  <c r="AF24" i="5"/>
  <c r="AF15" i="5"/>
  <c r="AD8" i="5"/>
  <c r="AH8" i="5" s="1"/>
  <c r="AD11" i="5"/>
  <c r="AE24" i="5"/>
  <c r="AF34" i="5"/>
  <c r="AF35" i="5"/>
  <c r="AG2" i="5"/>
  <c r="AE10" i="5"/>
  <c r="AE2" i="5"/>
  <c r="AD20" i="5"/>
  <c r="AF23" i="5"/>
  <c r="AG9" i="5"/>
  <c r="AE28" i="5"/>
  <c r="AE13" i="5"/>
  <c r="AD2" i="5"/>
  <c r="AG22" i="5"/>
  <c r="AD27" i="5"/>
  <c r="AH27" i="5" s="1"/>
  <c r="AG5" i="5"/>
  <c r="AD33" i="5"/>
  <c r="AG34" i="5"/>
  <c r="AD22" i="5"/>
  <c r="AG26" i="5"/>
  <c r="AD9" i="5"/>
  <c r="K17" i="6" s="1"/>
  <c r="AE15" i="5"/>
  <c r="AG11" i="5"/>
  <c r="AD3" i="5"/>
  <c r="AE21" i="5"/>
  <c r="AE33" i="5"/>
  <c r="AF22" i="5"/>
  <c r="AF30" i="5"/>
  <c r="AG21" i="5"/>
  <c r="AF32" i="5"/>
  <c r="AE14" i="5"/>
  <c r="AE4" i="5"/>
  <c r="AE25" i="5"/>
  <c r="AF11" i="5"/>
  <c r="AG7" i="5"/>
  <c r="AG13" i="5"/>
  <c r="AG29" i="5"/>
  <c r="AF27" i="5"/>
  <c r="AE17" i="5"/>
  <c r="AE12" i="5"/>
  <c r="AF31" i="5"/>
  <c r="AD35" i="5"/>
  <c r="AG27" i="5"/>
  <c r="AF13" i="5"/>
  <c r="AF7" i="5"/>
  <c r="AD21" i="5"/>
  <c r="AF12" i="5"/>
  <c r="AF25" i="5"/>
  <c r="AF4" i="5"/>
  <c r="AG35" i="5"/>
  <c r="AD31" i="5"/>
  <c r="AF5" i="5"/>
  <c r="AD14" i="5"/>
  <c r="AE23" i="5"/>
  <c r="AF3" i="5"/>
  <c r="AD15" i="5"/>
  <c r="AD7" i="5"/>
  <c r="AE7" i="5"/>
  <c r="AF20" i="5"/>
  <c r="AF10" i="5"/>
  <c r="AF17" i="5"/>
  <c r="AE9" i="5"/>
  <c r="Q8" i="6" s="1"/>
  <c r="AD16" i="5"/>
  <c r="AG10" i="5"/>
  <c r="AF26" i="5"/>
  <c r="AF8" i="5"/>
  <c r="AE35" i="5"/>
  <c r="AD32" i="5"/>
  <c r="AF16" i="5"/>
  <c r="AE11" i="5"/>
  <c r="AE6" i="5"/>
  <c r="AG16" i="5"/>
  <c r="AE34" i="5"/>
  <c r="AF28" i="5"/>
  <c r="AI28" i="5" s="1"/>
  <c r="AD34" i="5"/>
  <c r="AD24" i="5"/>
  <c r="AD26" i="5"/>
  <c r="AF29" i="5"/>
  <c r="AG25" i="5"/>
  <c r="AE26" i="5"/>
  <c r="AG4" i="5"/>
  <c r="AG30" i="5"/>
  <c r="AD10" i="5"/>
  <c r="AF6" i="5"/>
  <c r="AG24" i="5"/>
  <c r="AG17" i="5"/>
  <c r="AG20" i="5"/>
  <c r="AG32" i="5"/>
  <c r="AH17" i="5" l="1"/>
  <c r="AH31" i="5"/>
  <c r="Q22" i="6"/>
  <c r="AI24" i="5"/>
  <c r="AI16" i="5"/>
  <c r="AH16" i="5"/>
  <c r="AH30" i="5"/>
  <c r="AH35" i="5"/>
  <c r="AI7" i="5"/>
  <c r="AI11" i="5"/>
  <c r="AH29" i="5"/>
  <c r="R4" i="6"/>
  <c r="AI14" i="5"/>
  <c r="AI26" i="5"/>
  <c r="AI22" i="5"/>
  <c r="AI27" i="5"/>
  <c r="AI34" i="5"/>
  <c r="R28" i="6"/>
  <c r="AI15" i="5"/>
  <c r="AH10" i="5"/>
  <c r="AI21" i="5"/>
  <c r="R6" i="6"/>
  <c r="AI32" i="5"/>
  <c r="AI10" i="5"/>
  <c r="AH12" i="5"/>
  <c r="AI6" i="5"/>
  <c r="AI20" i="5"/>
  <c r="AI25" i="5"/>
  <c r="AI17" i="5"/>
  <c r="AH23" i="5"/>
  <c r="Q25" i="6"/>
  <c r="M18" i="6"/>
  <c r="O18" i="6" s="1"/>
  <c r="AH14" i="5"/>
  <c r="W24" i="6"/>
  <c r="R24" i="6"/>
  <c r="S11" i="6"/>
  <c r="J16" i="6"/>
  <c r="W2" i="6"/>
  <c r="AH2" i="5"/>
  <c r="Q2" i="6"/>
  <c r="AI33" i="5"/>
  <c r="AI3" i="5"/>
  <c r="AI23" i="5"/>
  <c r="AH34" i="5"/>
  <c r="AH9" i="5"/>
  <c r="W8" i="6"/>
  <c r="K16" i="6"/>
  <c r="R16" i="6" s="1"/>
  <c r="AI35" i="5"/>
  <c r="W28" i="6"/>
  <c r="K19" i="6"/>
  <c r="R18" i="6" s="1"/>
  <c r="AI12" i="5"/>
  <c r="S31" i="6"/>
  <c r="R22" i="6"/>
  <c r="S22" i="6" s="1"/>
  <c r="J19" i="6"/>
  <c r="W22" i="6"/>
  <c r="AH22" i="5"/>
  <c r="Q24" i="6"/>
  <c r="AI2" i="5"/>
  <c r="AI5" i="5"/>
  <c r="AH20" i="5"/>
  <c r="Q27" i="6"/>
  <c r="AH25" i="5"/>
  <c r="W26" i="6"/>
  <c r="R26" i="6"/>
  <c r="Q26" i="6"/>
  <c r="AH24" i="5"/>
  <c r="Q23" i="6"/>
  <c r="AH21" i="5"/>
  <c r="AI31" i="5"/>
  <c r="L18" i="6"/>
  <c r="AI29" i="5"/>
  <c r="R8" i="6"/>
  <c r="S8" i="6" s="1"/>
  <c r="W27" i="6"/>
  <c r="R27" i="6"/>
  <c r="R5" i="6"/>
  <c r="AH4" i="5"/>
  <c r="W4" i="6"/>
  <c r="Q4" i="6"/>
  <c r="J17" i="6"/>
  <c r="R2" i="6"/>
  <c r="AI13" i="5"/>
  <c r="Q7" i="6"/>
  <c r="W7" i="6"/>
  <c r="AH7" i="5"/>
  <c r="AH28" i="5"/>
  <c r="M16" i="6"/>
  <c r="Q5" i="6"/>
  <c r="W5" i="6"/>
  <c r="AH5" i="5"/>
  <c r="Q3" i="6"/>
  <c r="W3" i="6"/>
  <c r="AH3" i="5"/>
  <c r="O17" i="6"/>
  <c r="AH32" i="5"/>
  <c r="AH33" i="5"/>
  <c r="W6" i="6"/>
  <c r="Q6" i="6"/>
  <c r="AH6" i="5"/>
  <c r="AI30" i="5"/>
  <c r="AH11" i="5"/>
  <c r="R3" i="6"/>
  <c r="AH13" i="5"/>
  <c r="AI4" i="5"/>
  <c r="R23" i="6"/>
  <c r="W23" i="6"/>
  <c r="Q28" i="6"/>
  <c r="AH26" i="5"/>
  <c r="R7" i="6"/>
  <c r="AH15" i="5"/>
  <c r="AI9" i="5"/>
  <c r="M19" i="6"/>
  <c r="W25" i="6"/>
  <c r="R25" i="6"/>
  <c r="AI8" i="5"/>
  <c r="S26" i="6" l="1"/>
  <c r="U26" i="6" s="1"/>
  <c r="V26" i="6" s="1"/>
  <c r="X26" i="6" s="1"/>
  <c r="S4" i="6"/>
  <c r="U4" i="6" s="1"/>
  <c r="V4" i="6" s="1"/>
  <c r="X4" i="6" s="1"/>
  <c r="S28" i="6"/>
  <c r="U28" i="6" s="1"/>
  <c r="V28" i="6" s="1"/>
  <c r="X28" i="6" s="1"/>
  <c r="S6" i="6"/>
  <c r="U6" i="6" s="1"/>
  <c r="V6" i="6" s="1"/>
  <c r="X6" i="6" s="1"/>
  <c r="S7" i="6"/>
  <c r="U7" i="6" s="1"/>
  <c r="V7" i="6" s="1"/>
  <c r="X7" i="6" s="1"/>
  <c r="W30" i="6"/>
  <c r="S33" i="6" s="1"/>
  <c r="S27" i="6"/>
  <c r="U27" i="6" s="1"/>
  <c r="V27" i="6" s="1"/>
  <c r="X27" i="6" s="1"/>
  <c r="S24" i="6"/>
  <c r="U24" i="6" s="1"/>
  <c r="U22" i="6"/>
  <c r="V22" i="6" s="1"/>
  <c r="S3" i="6"/>
  <c r="P16" i="6"/>
  <c r="N16" i="6"/>
  <c r="L16" i="6"/>
  <c r="W9" i="6"/>
  <c r="S12" i="6" s="1"/>
  <c r="Q18" i="6"/>
  <c r="O19" i="6"/>
  <c r="R19" i="6" s="1"/>
  <c r="L19" i="6"/>
  <c r="P19" i="6" s="1"/>
  <c r="P18" i="6"/>
  <c r="N19" i="6"/>
  <c r="S23" i="6"/>
  <c r="W10" i="6"/>
  <c r="S13" i="6" s="1"/>
  <c r="S5" i="6"/>
  <c r="Q16" i="6"/>
  <c r="O16" i="6"/>
  <c r="R17" i="6" s="1"/>
  <c r="U8" i="6"/>
  <c r="V8" i="6" s="1"/>
  <c r="X8" i="6" s="1"/>
  <c r="S25" i="6"/>
  <c r="S2" i="6"/>
  <c r="L17" i="6"/>
  <c r="N17" i="6"/>
  <c r="W29" i="6"/>
  <c r="S32" i="6" s="1"/>
  <c r="N18" i="6"/>
  <c r="S30" i="6" l="1"/>
  <c r="Y8" i="6"/>
  <c r="Y26" i="6"/>
  <c r="Y6" i="6"/>
  <c r="V24" i="6"/>
  <c r="X24" i="6" s="1"/>
  <c r="Y24" i="6"/>
  <c r="Q19" i="6"/>
  <c r="Q17" i="6"/>
  <c r="P17" i="6"/>
  <c r="Y7" i="6"/>
  <c r="U5" i="6"/>
  <c r="V5" i="6" s="1"/>
  <c r="X5" i="6" s="1"/>
  <c r="Y4" i="6"/>
  <c r="U2" i="6"/>
  <c r="V2" i="6" s="1"/>
  <c r="S10" i="6"/>
  <c r="U23" i="6"/>
  <c r="V23" i="6" s="1"/>
  <c r="X23" i="6" s="1"/>
  <c r="U3" i="6"/>
  <c r="V3" i="6" s="1"/>
  <c r="X3" i="6" s="1"/>
  <c r="Y28" i="6"/>
  <c r="U25" i="6"/>
  <c r="V25" i="6" s="1"/>
  <c r="X25" i="6" s="1"/>
  <c r="X22" i="6"/>
  <c r="X29" i="6" s="1"/>
  <c r="U30" i="6" s="1"/>
  <c r="Y27" i="6"/>
  <c r="Y22" i="6"/>
  <c r="S9" i="6" l="1"/>
  <c r="S29" i="6"/>
  <c r="Y5" i="6"/>
  <c r="X2" i="6"/>
  <c r="X9" i="6" s="1"/>
  <c r="U10" i="6" s="1"/>
  <c r="Y2" i="6"/>
  <c r="Y23" i="6"/>
  <c r="Y25" i="6"/>
  <c r="Y3" i="6"/>
  <c r="Y29" i="6" l="1"/>
  <c r="U31" i="6" s="1"/>
  <c r="U32" i="6" s="1"/>
  <c r="Y9" i="6"/>
  <c r="U11" i="6" s="1"/>
  <c r="U1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E1B9DE-0E05-43D5-86BA-62CCE9BEFC0B}" keepAlive="1" name="ModelConnection_ExternalData_2" description="Data Model" type="5" refreshedVersion="7" minRefreshableVersion="5" saveData="1">
    <dbPr connection="Data Model Connection" command="abcd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2770ABB-8C2C-4877-B700-F6F6455C7784}" keepAlive="1" name="Query - abcd" description="Connection to the 'abcd' query in the workbook." type="5" refreshedVersion="7" background="1" saveData="1">
    <dbPr connection="Provider=Microsoft.Mashup.OleDb.1;Data Source=$Workbook$;Location=abcd;Extended Properties=&quot;&quot;" command="SELECT * FROM [abcd]"/>
  </connection>
  <connection id="3" xr16:uid="{61BD7226-3B26-49A4-8C9B-3064BEA6187A}" name="Query - abcd (2)" description="Connection to the 'abcd (2)' query in the workbook." type="100" refreshedVersion="7" minRefreshableVersion="5">
    <extLst>
      <ext xmlns:x15="http://schemas.microsoft.com/office/spreadsheetml/2010/11/main" uri="{DE250136-89BD-433C-8126-D09CA5730AF9}">
        <x15:connection id="ec519771-92ec-4d9d-91b0-3414d8b64f4c"/>
      </ext>
    </extLst>
  </connection>
  <connection id="4" xr16:uid="{7C01EB80-49B4-4B6B-BDD5-AB6767D204E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<sst xmlns="http://schemas.openxmlformats.org/spreadsheetml/2006/main" count="339" uniqueCount="143">
  <si>
    <t>Price (strike prices below value)</t>
  </si>
  <si>
    <t>Weight</t>
  </si>
  <si>
    <t>Long</t>
  </si>
  <si>
    <t>Immediate</t>
  </si>
  <si>
    <t>PCR</t>
  </si>
  <si>
    <t>Current Price</t>
  </si>
  <si>
    <t>SD</t>
  </si>
  <si>
    <t>VIX</t>
  </si>
  <si>
    <t>VIX Weekly</t>
  </si>
  <si>
    <t>Vix Daily</t>
  </si>
  <si>
    <t>Intrest rate</t>
  </si>
  <si>
    <t>Time of expiry</t>
  </si>
  <si>
    <t>1 yr return</t>
  </si>
  <si>
    <t xml:space="preserve">Divident </t>
  </si>
  <si>
    <t>IV</t>
  </si>
  <si>
    <t>Cookies</t>
  </si>
  <si>
    <t>_ga=GA1.1.368949583.1715016028; _ga_QJZ4447QD3=GS1.1.1716713387.2.0.1716713387.0.0.0; AKA_A2=A; defaultLang=en; ak_bmsc=5049A452E2B2673B8F23D47D32B18D23~000000000000000000000000000000~YAAQgbYRYIhcrgeRAQAAMmUAHRje7rkSdT9arGwcI1x+NwD+Qw9B0nTiMCsy38LBOWE1cFJucqsYYxoYBzTBYo10MQcTbo7b7OJby21hrD+ya/dGsxv13C/PrFU4zPJ3Cq+O+mHPv0t6oBDlMw0LjylkMSPyveKWmdZfHM8Z7hD5JSfctKVaMgp+++QsmtjB5nqIQJi5oKnAQxjB6iQNpyUOR3RpMtS2s8agoaSOrkkRSvAj7GnePNjXyGkI9dJZmMqaYo2MJXRfyRTGv3ijDoUR5xdjBJyV/r6ecSQQMsf/KSKKLEAwu5KnvEQEkAf7ZSf592Gxs7dyVhsEr+V+5ZK3xjJvL2VTlYfAzrMPtO/lx++sSLZ+Y9nmgCyJ8f3/16rRfMRG5qKGgewF9OPzV06DilBIHnXcRWY4OoCTXI+pQsETkXuB5bW3q/rxQqQzefoISlZAFj4s8qosKSnNyg==; nsit=CDOdkMhgRlxMF12HnRzsqgdu; nseQuoteSymbols=[{"symbol":"NIFTY","identifier":"OPTIDXNIFTY08-08-2024PE24700.00","type":"equity"}]; nseappid=eyJhbGciOiJIUzI1NiIsInR5cCI6IkpXVCJ9.eyJpc3MiOiJhcGkubnNlIiwiYXVkIjoiYXBpLm5zZSIsImlhdCI6MTcyMjc2OTI0MywiZXhwIjoxNzIyNzc2NDQzfQ.GP09QlkPst8kMGIhQKHuy2jbLWH4rE5abau4fw02ID4; bm_sz=DE65FA929BC350ECAC6D8F1F1BE2F694~YAAQgbYRYBAPrweRAQAAUoAMHRiNN4lsZF8X01ldwBZDFip8daDiRKMMBc9zpyRcQcVbpLW/s/ccnoe6KwzgJ+wZJFZtOsp2bjQAmwkxgfX5JNyQYMQtEZPLbNQVhx77WBVmoE1SJRvSnRzG2+05HRvx0QtqA/8x28hWzrfW1gXr4jkPowCOUNTln1VgroAHD+tKnnAEFbdJ/V+VOW4LiCLbe8xlx1MltKQ7ECjqpC2Y89B5L80ZH4FcBHLqGBmf683SFfyK4ccr8cFl2avN4xPyMgvsQ4MnVgcHppSRQ/CXrTg8U+hWVd4E9SRn98CTe+KcQYl/nLyvZ8TnWZ7Ft8EbNYIaD0D+wqdNFM73q8KbUZXs//Ch1yDiFOpiaXLo6zdW3aBq2z8bsZJKuVLN4FJ0okcRCwXQIADEY/Vglgp2Dc+A0EbPwzTFDRN3JBp6Gp12fB/I5aAlzP+Bu51aeXGAhmhhrBlz9YdpuHi/7JD75HrllImEgPL1ZBVfwhjW7OZl/FtXp6lHrHJVISG5ymxxovB177TrosZHwlgV+9S+Sw==~4600643~3556420; _ga_87M7PJ3R97=GS1.1.1722767513.40.1.1722769246.58.0.0; RT="z=1&amp;dm=nseindia.com&amp;si=77caf0ce-9900-409d-89e9-ff0383678b2f&amp;ss=lzfgbs39&amp;sl=0&amp;se=8c&amp;tt=0&amp;bcn=%2F%2F684d0d4a.akstat.io%2F&amp;ld=f6jl&amp;nu=o0qpsglo&amp;cl=fkf"; _abck=CD13359D152E162C435086B82BC350CB~0~YAAQgbYRYMIXrweRAQAAXcsMHQyr/sM1p/jvGB1q2koc3cllPvpJPvmnQPtfPJg8xJyrQpNlB6qUILI+X8LUapwLpNPY7GXPPE6emBM2Kttq6DGHGj9DVBIdqugF3JmjMJdVeo87Tl6hvKfBQY6fQkaLRq3d3wlm3T7epe+oX1AVKV6BYHTuCM2JWDvYZOdnnJY81lHFF7gIhezpdFyT8OdBEWLSjMec75mxDU8ntZuEsxp2FFzqP+uwtcVx/V2mcnSIJZNFbMs3mv0qqBDxoA4pbxJhSzUsbIzPZy16P4W0q4gnbGzvnWACxmxci8PhoRISbRN5/BXVhSMUINJvxF0234Kxx1xtt7sbdFstx2unYfU8/RdcUXT8yyhZxpgR~-1~-1~-1; bm_sv=F4E946A45F732C5E357AB8FBF6520532~YAAQgbYRYMMXrweRAQAAXcsMHRgzoSKTVehEQ2gMj92XWSijJpZt/woL09BY7KFKA90mjleCMkY+H1Z/kzjIY9ZoxoqEKPvmBqwn4PPzsXDGdNt59W2Y1FbU/fDVao1V2Jo9MqAQYoQ1t4B/xD7+UbNEmeP/WM10sJffYclMaiNuHHDZwyIbZqUrUuEtSebeqYl+BfQdIKyJSkPbKMlNvaLYR0f2d2GLo9vEiMtiNJTEAkzqUyz1nWONB313CtlbeAYrNg==~1</t>
  </si>
  <si>
    <t>OI</t>
  </si>
  <si>
    <t>CHNG IN OI</t>
  </si>
  <si>
    <t>VOLUME</t>
  </si>
  <si>
    <t>LTP</t>
  </si>
  <si>
    <t>CHNG</t>
  </si>
  <si>
    <t>BID QTY</t>
  </si>
  <si>
    <t>BID</t>
  </si>
  <si>
    <t>ASK</t>
  </si>
  <si>
    <t>ASK QTY</t>
  </si>
  <si>
    <t>STRIKE</t>
  </si>
  <si>
    <t>S.no</t>
  </si>
  <si>
    <t>Variable</t>
  </si>
  <si>
    <t>Index</t>
  </si>
  <si>
    <t>Call OI</t>
  </si>
  <si>
    <t>Put OI</t>
  </si>
  <si>
    <t>Change Call</t>
  </si>
  <si>
    <t>Change Put</t>
  </si>
  <si>
    <t>Change PCR</t>
  </si>
  <si>
    <t>Mid PCR</t>
  </si>
  <si>
    <t>Ratio M</t>
  </si>
  <si>
    <t>Ratio I</t>
  </si>
  <si>
    <t>Ratio T</t>
  </si>
  <si>
    <t>s.no</t>
  </si>
  <si>
    <t>Price</t>
  </si>
  <si>
    <t>Call value</t>
  </si>
  <si>
    <t>Put value</t>
  </si>
  <si>
    <t>Difference</t>
  </si>
  <si>
    <t>Time value call</t>
  </si>
  <si>
    <t>Time  value put</t>
  </si>
  <si>
    <t>ln(S0/K)</t>
  </si>
  <si>
    <t>sigma</t>
  </si>
  <si>
    <t>(r+σ2/2)t</t>
  </si>
  <si>
    <t>σ√t</t>
  </si>
  <si>
    <t>D1</t>
  </si>
  <si>
    <t>D2</t>
  </si>
  <si>
    <t>N(D1)</t>
  </si>
  <si>
    <t>N(D2)</t>
  </si>
  <si>
    <t>e-rt</t>
  </si>
  <si>
    <t>Call</t>
  </si>
  <si>
    <t>N(-D1)</t>
  </si>
  <si>
    <t>N(-D2)</t>
  </si>
  <si>
    <t>Put</t>
  </si>
  <si>
    <t>deviation call</t>
  </si>
  <si>
    <t>deviation Put</t>
  </si>
  <si>
    <t>Mid VI</t>
  </si>
  <si>
    <t>Call IV</t>
  </si>
  <si>
    <t>Put VI</t>
  </si>
  <si>
    <t>VI M</t>
  </si>
  <si>
    <t>Call VI</t>
  </si>
  <si>
    <t>VI I</t>
  </si>
  <si>
    <t>VI T</t>
  </si>
  <si>
    <t>Put change</t>
  </si>
  <si>
    <t>Call change</t>
  </si>
  <si>
    <t>Increase</t>
  </si>
  <si>
    <t>W</t>
  </si>
  <si>
    <t>Direction</t>
  </si>
  <si>
    <t>Strength</t>
  </si>
  <si>
    <t>PF</t>
  </si>
  <si>
    <t>Wall T</t>
  </si>
  <si>
    <t>PA</t>
  </si>
  <si>
    <t>Destroyed wall</t>
  </si>
  <si>
    <t>p</t>
  </si>
  <si>
    <t>Destroyed 4</t>
  </si>
  <si>
    <t>1M8</t>
  </si>
  <si>
    <t>1M4</t>
  </si>
  <si>
    <t>4M8</t>
  </si>
  <si>
    <t>PCD1</t>
  </si>
  <si>
    <t>PCD4</t>
  </si>
  <si>
    <t>PCD8</t>
  </si>
  <si>
    <t>Suggestion</t>
  </si>
  <si>
    <t>Reversal</t>
  </si>
  <si>
    <t>X</t>
  </si>
  <si>
    <t>PUT</t>
  </si>
  <si>
    <t>Immidiate</t>
  </si>
  <si>
    <t>CALL</t>
  </si>
  <si>
    <t>Mid</t>
  </si>
  <si>
    <t>Y</t>
  </si>
  <si>
    <t>Total</t>
  </si>
  <si>
    <t>Nifty</t>
  </si>
  <si>
    <t>From</t>
  </si>
  <si>
    <t>TO</t>
  </si>
  <si>
    <t>Monday</t>
  </si>
  <si>
    <t>Tuesday</t>
  </si>
  <si>
    <t>Wednesday</t>
  </si>
  <si>
    <t>Thursday</t>
  </si>
  <si>
    <t>Friday</t>
  </si>
  <si>
    <t>NA</t>
  </si>
  <si>
    <t>Immediately sell what we hold at thursday</t>
  </si>
  <si>
    <t>Analysis+</t>
  </si>
  <si>
    <t>Trade+</t>
  </si>
  <si>
    <t>Analysis</t>
  </si>
  <si>
    <t>Trade</t>
  </si>
  <si>
    <t>Do not trade intraday, Also do not take new trade</t>
  </si>
  <si>
    <t>Analysed based on next expiry for next expiry option</t>
  </si>
  <si>
    <t>Buy based on dicision not intraday only if there is reversal as per Thursday over all trend</t>
  </si>
  <si>
    <t>Cover buying is only good during close recovery, so buy only if there is huge move against and huge chances for recovery</t>
  </si>
  <si>
    <t>If doing trading in second half do not do intra day</t>
  </si>
  <si>
    <t>Recovery is common during non expiry days, where as on expiry trend continuation have higher probablity</t>
  </si>
  <si>
    <t>Price change in morning govern by new Ois where as during session end post 2:45 its govern by Ois leaving except expiry</t>
  </si>
  <si>
    <t>if big move then reversal is emenent, if positive then sell if negative then hold</t>
  </si>
  <si>
    <t>Morning is the best time for trade</t>
  </si>
  <si>
    <t>CALLS</t>
  </si>
  <si>
    <t>Column1</t>
  </si>
  <si>
    <t>Column2</t>
  </si>
  <si>
    <t>Column3</t>
  </si>
  <si>
    <t/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</si>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</sst>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m/d/yy\ h:mm;@"/>
    <numFmt numFmtId="166" formatCode="0.0"/>
    <numFmt numFmtId="167" formatCode="0.00000"/>
    <numFmt numFmtId="168" formatCode="0.000000"/>
    <numFmt numFmtId="169" formatCode="[Green]#,##0;[Red]\-#,##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" fontId="0" fillId="0" borderId="0" xfId="0" applyNumberFormat="1"/>
    <xf numFmtId="3" fontId="0" fillId="0" borderId="0" xfId="0" applyNumberFormat="1"/>
    <xf numFmtId="1" fontId="0" fillId="0" borderId="0" xfId="0" applyNumberFormat="1" applyAlignment="1">
      <alignment horizontal="left"/>
    </xf>
    <xf numFmtId="2" fontId="0" fillId="2" borderId="0" xfId="0" applyNumberFormat="1" applyFill="1"/>
    <xf numFmtId="0" fontId="0" fillId="2" borderId="0" xfId="0" applyFill="1"/>
    <xf numFmtId="164" fontId="0" fillId="0" borderId="0" xfId="0" applyNumberFormat="1"/>
    <xf numFmtId="10" fontId="0" fillId="0" borderId="0" xfId="0" applyNumberFormat="1"/>
    <xf numFmtId="0" fontId="0" fillId="3" borderId="1" xfId="0" applyFill="1" applyBorder="1"/>
    <xf numFmtId="165" fontId="0" fillId="0" borderId="0" xfId="0" applyNumberFormat="1"/>
    <xf numFmtId="10" fontId="0" fillId="2" borderId="0" xfId="0" applyNumberFormat="1" applyFill="1"/>
    <xf numFmtId="0" fontId="0" fillId="3" borderId="2" xfId="0" applyFill="1" applyBorder="1"/>
    <xf numFmtId="2" fontId="0" fillId="0" borderId="0" xfId="0" applyNumberFormat="1"/>
    <xf numFmtId="0" fontId="0" fillId="0" borderId="1" xfId="0" applyBorder="1"/>
    <xf numFmtId="0" fontId="2" fillId="3" borderId="1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20" fontId="0" fillId="5" borderId="1" xfId="0" applyNumberFormat="1" applyFill="1" applyBorder="1"/>
    <xf numFmtId="20" fontId="0" fillId="3" borderId="1" xfId="0" applyNumberFormat="1" applyFill="1" applyBorder="1"/>
    <xf numFmtId="2" fontId="2" fillId="2" borderId="1" xfId="0" applyNumberFormat="1" applyFont="1" applyFill="1" applyBorder="1"/>
    <xf numFmtId="2" fontId="2" fillId="5" borderId="1" xfId="0" applyNumberFormat="1" applyFont="1" applyFill="1" applyBorder="1"/>
    <xf numFmtId="166" fontId="0" fillId="0" borderId="0" xfId="0" applyNumberFormat="1"/>
    <xf numFmtId="0" fontId="2" fillId="5" borderId="1" xfId="0" applyFont="1" applyFill="1" applyBorder="1"/>
    <xf numFmtId="0" fontId="2" fillId="0" borderId="4" xfId="0" applyFont="1" applyBorder="1"/>
    <xf numFmtId="4" fontId="0" fillId="2" borderId="0" xfId="0" applyNumberFormat="1" applyFill="1"/>
    <xf numFmtId="3" fontId="0" fillId="2" borderId="0" xfId="0" applyNumberFormat="1" applyFill="1"/>
    <xf numFmtId="0" fontId="0" fillId="0" borderId="0" xfId="0"/>
    <xf numFmtId="0" fontId="2" fillId="0" borderId="0" xfId="0" applyFont="1"/>
    <xf numFmtId="0" fontId="2" fillId="4" borderId="1" xfId="0" applyFont="1" applyFill="1" applyBorder="1"/>
    <xf numFmtId="16" fontId="2" fillId="4" borderId="1" xfId="0" applyNumberFormat="1" applyFont="1" applyFill="1" applyBorder="1"/>
    <xf numFmtId="2" fontId="2" fillId="7" borderId="1" xfId="0" applyNumberFormat="1" applyFont="1" applyFill="1" applyBorder="1"/>
    <xf numFmtId="3" fontId="0" fillId="2" borderId="1" xfId="0" applyNumberFormat="1" applyFill="1" applyBorder="1"/>
    <xf numFmtId="0" fontId="0" fillId="2" borderId="1" xfId="0" applyFill="1" applyBorder="1"/>
    <xf numFmtId="4" fontId="0" fillId="2" borderId="1" xfId="0" applyNumberFormat="1" applyFill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169" fontId="2" fillId="0" borderId="1" xfId="0" applyNumberFormat="1" applyFont="1" applyBorder="1"/>
    <xf numFmtId="3" fontId="2" fillId="0" borderId="1" xfId="0" applyNumberFormat="1" applyFont="1" applyBorder="1"/>
    <xf numFmtId="0" fontId="0" fillId="6" borderId="5" xfId="0" applyFill="1" applyBorder="1"/>
    <xf numFmtId="0" fontId="0" fillId="6" borderId="6" xfId="0" applyFill="1" applyBorder="1"/>
    <xf numFmtId="0" fontId="0" fillId="0" borderId="0" xfId="0" applyNumberFormat="1"/>
    <xf numFmtId="0" fontId="0" fillId="0" borderId="3" xfId="0" applyBorder="1" applyAlignment="1">
      <alignment horizontal="center"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8" xfId="0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X-50</a:t>
            </a:r>
          </a:p>
        </c:rich>
      </c:tx>
      <c:layout>
        <c:manualLayout>
          <c:xMode val="edge"/>
          <c:yMode val="edge"/>
          <c:x val="2.4317514363645359E-2"/>
          <c:y val="0.81015232743927024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4188457739151791"/>
          <c:y val="3.3305026052059823E-2"/>
          <c:w val="0.79793591517189733"/>
          <c:h val="0.6705451414549017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Info!$Y$1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Info!$Y$2:$Y$9</c:f>
              <c:numCache>
                <c:formatCode>General</c:formatCode>
                <c:ptCount val="8"/>
                <c:pt idx="0">
                  <c:v>0</c:v>
                </c:pt>
                <c:pt idx="1">
                  <c:v>586525</c:v>
                </c:pt>
                <c:pt idx="2">
                  <c:v>1026675</c:v>
                </c:pt>
                <c:pt idx="3">
                  <c:v>1026675</c:v>
                </c:pt>
                <c:pt idx="4">
                  <c:v>2674400</c:v>
                </c:pt>
                <c:pt idx="5">
                  <c:v>3305750</c:v>
                </c:pt>
                <c:pt idx="6">
                  <c:v>3826725</c:v>
                </c:pt>
                <c:pt idx="7">
                  <c:v>4587800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D-483F-B4C4-B4409481AC4D}"/>
            </c:ext>
          </c:extLst>
        </c:ser>
        <c:ser>
          <c:idx val="3"/>
          <c:order val="1"/>
          <c:tx>
            <c:strRef>
              <c:f>Info!$Z$1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c:spPr>
          <c:invertIfNegative val="0"/>
          <c:val>
            <c:numRef>
              <c:f>Info!$Z$2:$Z$9</c:f>
              <c:numCache>
                <c:formatCode>General</c:formatCode>
                <c:ptCount val="8"/>
                <c:pt idx="0">
                  <c:v>0</c:v>
                </c:pt>
                <c:pt idx="1">
                  <c:v>10891025</c:v>
                </c:pt>
                <c:pt idx="2">
                  <c:v>12458675</c:v>
                </c:pt>
                <c:pt idx="3">
                  <c:v>12458675</c:v>
                </c:pt>
                <c:pt idx="4">
                  <c:v>16027875</c:v>
                </c:pt>
                <c:pt idx="5">
                  <c:v>16971175</c:v>
                </c:pt>
                <c:pt idx="6">
                  <c:v>19118850</c:v>
                </c:pt>
                <c:pt idx="7">
                  <c:v>19444100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D-483F-B4C4-B4409481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1611931088"/>
        <c:axId val="-1611930544"/>
      </c:barChart>
      <c:lineChart>
        <c:grouping val="standard"/>
        <c:varyColors val="0"/>
        <c:ser>
          <c:idx val="4"/>
          <c:order val="2"/>
          <c:tx>
            <c:strRef>
              <c:f>Info!$W$1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Info!$W$2:$W$9</c:f>
              <c:numCache>
                <c:formatCode>General</c:formatCode>
                <c:ptCount val="8"/>
                <c:pt idx="0">
                  <c:v>0</c:v>
                </c:pt>
                <c:pt idx="1">
                  <c:v>3329850</c:v>
                </c:pt>
                <c:pt idx="2">
                  <c:v>3770000</c:v>
                </c:pt>
                <c:pt idx="3">
                  <c:v>3770000</c:v>
                </c:pt>
                <c:pt idx="4">
                  <c:v>5417725</c:v>
                </c:pt>
                <c:pt idx="5">
                  <c:v>6049075</c:v>
                </c:pt>
                <c:pt idx="6">
                  <c:v>6570050</c:v>
                </c:pt>
                <c:pt idx="7">
                  <c:v>7331125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ED-483F-B4C4-B4409481AC4D}"/>
            </c:ext>
          </c:extLst>
        </c:ser>
        <c:ser>
          <c:idx val="5"/>
          <c:order val="3"/>
          <c:tx>
            <c:strRef>
              <c:f>Info!$X$1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Info!$X$2:$X$9</c:f>
              <c:numCache>
                <c:formatCode>General</c:formatCode>
                <c:ptCount val="8"/>
                <c:pt idx="0">
                  <c:v>0</c:v>
                </c:pt>
                <c:pt idx="1">
                  <c:v>11556475</c:v>
                </c:pt>
                <c:pt idx="2">
                  <c:v>13124125</c:v>
                </c:pt>
                <c:pt idx="3">
                  <c:v>13124125</c:v>
                </c:pt>
                <c:pt idx="4">
                  <c:v>16693325</c:v>
                </c:pt>
                <c:pt idx="5">
                  <c:v>17636625</c:v>
                </c:pt>
                <c:pt idx="6">
                  <c:v>19784300</c:v>
                </c:pt>
                <c:pt idx="7">
                  <c:v>20109550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ED-483F-B4C4-B4409481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1931088"/>
        <c:axId val="-1611930544"/>
      </c:lineChart>
      <c:lineChart>
        <c:grouping val="standard"/>
        <c:varyColors val="0"/>
        <c:ser>
          <c:idx val="6"/>
          <c:order val="4"/>
          <c:tx>
            <c:strRef>
              <c:f>Info!$AA$1</c:f>
              <c:strCache>
                <c:ptCount val="1"/>
                <c:pt idx="0">
                  <c:v>PCR</c:v>
                </c:pt>
              </c:strCache>
            </c:strRef>
          </c:tx>
          <c:spPr>
            <a:ln w="5080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Info!$AA$2:$AA$9</c:f>
              <c:numCache>
                <c:formatCode>General</c:formatCode>
                <c:ptCount val="8"/>
                <c:pt idx="0">
                  <c:v>0</c:v>
                </c:pt>
                <c:pt idx="1">
                  <c:v>3.4705692448608798</c:v>
                </c:pt>
                <c:pt idx="2">
                  <c:v>3.4812002652519896</c:v>
                </c:pt>
                <c:pt idx="3">
                  <c:v>3.4812002652519896</c:v>
                </c:pt>
                <c:pt idx="4">
                  <c:v>3.081242587986655</c:v>
                </c:pt>
                <c:pt idx="5">
                  <c:v>2.9155904001851525</c:v>
                </c:pt>
                <c:pt idx="6">
                  <c:v>3.0112860632719691</c:v>
                </c:pt>
                <c:pt idx="7">
                  <c:v>2.7430373919418916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ED-483F-B4C4-B4409481AC4D}"/>
            </c:ext>
          </c:extLst>
        </c:ser>
        <c:ser>
          <c:idx val="7"/>
          <c:order val="5"/>
          <c:tx>
            <c:strRef>
              <c:f>Info!$AB$1</c:f>
              <c:strCache>
                <c:ptCount val="1"/>
                <c:pt idx="0">
                  <c:v>Change PCR</c:v>
                </c:pt>
              </c:strCache>
            </c:strRef>
          </c:tx>
          <c:spPr>
            <a:ln w="3810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  <a:prstDash val="solid"/>
              </a:ln>
            </c:spPr>
          </c:marker>
          <c:val>
            <c:numRef>
              <c:f>Info!$AB$2:$AB$9</c:f>
              <c:numCache>
                <c:formatCode>General</c:formatCode>
                <c:ptCount val="8"/>
                <c:pt idx="0">
                  <c:v>0</c:v>
                </c:pt>
                <c:pt idx="1">
                  <c:v>18.568731085631473</c:v>
                </c:pt>
                <c:pt idx="2">
                  <c:v>12.134974553777973</c:v>
                </c:pt>
                <c:pt idx="3">
                  <c:v>12.134974553777973</c:v>
                </c:pt>
                <c:pt idx="4">
                  <c:v>5.9930732126832185</c:v>
                </c:pt>
                <c:pt idx="5">
                  <c:v>5.1338349844967102</c:v>
                </c:pt>
                <c:pt idx="6">
                  <c:v>4.9961389961389964</c:v>
                </c:pt>
                <c:pt idx="7">
                  <c:v>4.2382187540869261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ED-483F-B4C4-B4409481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1929456"/>
        <c:axId val="-1611930000"/>
      </c:lineChart>
      <c:catAx>
        <c:axId val="-161193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930544"/>
        <c:crosses val="autoZero"/>
        <c:auto val="1"/>
        <c:lblAlgn val="ctr"/>
        <c:lblOffset val="100"/>
        <c:noMultiLvlLbl val="0"/>
      </c:catAx>
      <c:valAx>
        <c:axId val="-16119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931088"/>
        <c:crosses val="autoZero"/>
        <c:crossBetween val="between"/>
      </c:valAx>
      <c:catAx>
        <c:axId val="-161192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-1611930000"/>
        <c:crosses val="autoZero"/>
        <c:auto val="1"/>
        <c:lblAlgn val="ctr"/>
        <c:lblOffset val="100"/>
        <c:noMultiLvlLbl val="0"/>
      </c:catAx>
      <c:valAx>
        <c:axId val="-16119300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92945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X</a:t>
            </a:r>
          </a:p>
        </c:rich>
      </c:tx>
      <c:layout>
        <c:manualLayout>
          <c:xMode val="edge"/>
          <c:yMode val="edge"/>
          <c:x val="4.1580911933484808E-2"/>
          <c:y val="0.778583638053613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944235669261761"/>
          <c:y val="6.3302234920011191E-2"/>
          <c:w val="0.78531525924298728"/>
          <c:h val="0.6395375181965889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Info!$AF$1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Info!$AF$2:$AF$17</c:f>
              <c:numCache>
                <c:formatCode>General</c:formatCode>
                <c:ptCount val="16"/>
                <c:pt idx="0">
                  <c:v>0</c:v>
                </c:pt>
                <c:pt idx="1">
                  <c:v>6854025</c:v>
                </c:pt>
                <c:pt idx="2">
                  <c:v>8093750</c:v>
                </c:pt>
                <c:pt idx="3">
                  <c:v>8093750</c:v>
                </c:pt>
                <c:pt idx="4">
                  <c:v>10292325</c:v>
                </c:pt>
                <c:pt idx="5">
                  <c:v>11015025</c:v>
                </c:pt>
                <c:pt idx="6">
                  <c:v>12693075</c:v>
                </c:pt>
                <c:pt idx="7">
                  <c:v>13829975</c:v>
                </c:pt>
                <c:pt idx="8">
                  <c:v>11025025</c:v>
                </c:pt>
                <c:pt idx="9">
                  <c:v>10394850</c:v>
                </c:pt>
                <c:pt idx="10">
                  <c:v>9373125</c:v>
                </c:pt>
                <c:pt idx="11">
                  <c:v>8577250</c:v>
                </c:pt>
                <c:pt idx="12">
                  <c:v>8441500</c:v>
                </c:pt>
                <c:pt idx="13">
                  <c:v>7828075</c:v>
                </c:pt>
                <c:pt idx="14">
                  <c:v>8134375</c:v>
                </c:pt>
                <c:pt idx="15">
                  <c:v>12908725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8-47C1-8079-899F68B8CE23}"/>
            </c:ext>
          </c:extLst>
        </c:ser>
        <c:ser>
          <c:idx val="3"/>
          <c:order val="1"/>
          <c:tx>
            <c:strRef>
              <c:f>Info!$AG$1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6">
                  <a:lumMod val="60000"/>
                  <a:lumOff val="40000"/>
                  <a:alpha val="24000"/>
                </a:schemeClr>
              </a:solidFill>
              <a:prstDash val="solid"/>
            </a:ln>
          </c:spPr>
          <c:invertIfNegative val="0"/>
          <c:val>
            <c:numRef>
              <c:f>Info!$AG$2:$AG$17</c:f>
              <c:numCache>
                <c:formatCode>General</c:formatCode>
                <c:ptCount val="16"/>
                <c:pt idx="0">
                  <c:v>0</c:v>
                </c:pt>
                <c:pt idx="1">
                  <c:v>18629875</c:v>
                </c:pt>
                <c:pt idx="2">
                  <c:v>18661475</c:v>
                </c:pt>
                <c:pt idx="3">
                  <c:v>18661475</c:v>
                </c:pt>
                <c:pt idx="4">
                  <c:v>15633850</c:v>
                </c:pt>
                <c:pt idx="5">
                  <c:v>14109825</c:v>
                </c:pt>
                <c:pt idx="6">
                  <c:v>12454350</c:v>
                </c:pt>
                <c:pt idx="7">
                  <c:v>10959500</c:v>
                </c:pt>
                <c:pt idx="8">
                  <c:v>13835000</c:v>
                </c:pt>
                <c:pt idx="9">
                  <c:v>14050175</c:v>
                </c:pt>
                <c:pt idx="10">
                  <c:v>13988650</c:v>
                </c:pt>
                <c:pt idx="11">
                  <c:v>14108150</c:v>
                </c:pt>
                <c:pt idx="12">
                  <c:v>13853700</c:v>
                </c:pt>
                <c:pt idx="13">
                  <c:v>13131675</c:v>
                </c:pt>
                <c:pt idx="14">
                  <c:v>12456500</c:v>
                </c:pt>
                <c:pt idx="15">
                  <c:v>9638000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8-47C1-8079-899F68B8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11928368"/>
        <c:axId val="-1611927824"/>
      </c:barChart>
      <c:lineChart>
        <c:grouping val="standard"/>
        <c:varyColors val="0"/>
        <c:ser>
          <c:idx val="4"/>
          <c:order val="2"/>
          <c:tx>
            <c:strRef>
              <c:f>Info!$AD$1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Info!$AD$2:$AD$17</c:f>
              <c:numCache>
                <c:formatCode>General</c:formatCode>
                <c:ptCount val="16"/>
                <c:pt idx="0">
                  <c:v>0</c:v>
                </c:pt>
                <c:pt idx="1">
                  <c:v>7722000</c:v>
                </c:pt>
                <c:pt idx="2">
                  <c:v>8961725</c:v>
                </c:pt>
                <c:pt idx="3">
                  <c:v>8961725</c:v>
                </c:pt>
                <c:pt idx="4">
                  <c:v>11160300</c:v>
                </c:pt>
                <c:pt idx="5">
                  <c:v>11883000</c:v>
                </c:pt>
                <c:pt idx="6">
                  <c:v>13561050</c:v>
                </c:pt>
                <c:pt idx="7">
                  <c:v>14697950</c:v>
                </c:pt>
                <c:pt idx="8">
                  <c:v>11893000</c:v>
                </c:pt>
                <c:pt idx="9">
                  <c:v>11262825</c:v>
                </c:pt>
                <c:pt idx="10">
                  <c:v>10241100</c:v>
                </c:pt>
                <c:pt idx="11">
                  <c:v>9445225</c:v>
                </c:pt>
                <c:pt idx="12">
                  <c:v>9309475</c:v>
                </c:pt>
                <c:pt idx="13">
                  <c:v>8696050</c:v>
                </c:pt>
                <c:pt idx="14">
                  <c:v>9002350</c:v>
                </c:pt>
                <c:pt idx="15">
                  <c:v>13776700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8-47C1-8079-899F68B8CE23}"/>
            </c:ext>
          </c:extLst>
        </c:ser>
        <c:ser>
          <c:idx val="5"/>
          <c:order val="3"/>
          <c:tx>
            <c:strRef>
              <c:f>Info!$AE$1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Info!$AE$2:$AE$17</c:f>
              <c:numCache>
                <c:formatCode>General</c:formatCode>
                <c:ptCount val="16"/>
                <c:pt idx="0">
                  <c:v>0</c:v>
                </c:pt>
                <c:pt idx="1">
                  <c:v>18692675</c:v>
                </c:pt>
                <c:pt idx="2">
                  <c:v>18724275</c:v>
                </c:pt>
                <c:pt idx="3">
                  <c:v>18724275</c:v>
                </c:pt>
                <c:pt idx="4">
                  <c:v>15696650</c:v>
                </c:pt>
                <c:pt idx="5">
                  <c:v>14172625</c:v>
                </c:pt>
                <c:pt idx="6">
                  <c:v>12517150</c:v>
                </c:pt>
                <c:pt idx="7">
                  <c:v>11022300</c:v>
                </c:pt>
                <c:pt idx="8">
                  <c:v>13897800</c:v>
                </c:pt>
                <c:pt idx="9">
                  <c:v>14112975</c:v>
                </c:pt>
                <c:pt idx="10">
                  <c:v>14051450</c:v>
                </c:pt>
                <c:pt idx="11">
                  <c:v>14170950</c:v>
                </c:pt>
                <c:pt idx="12">
                  <c:v>13916500</c:v>
                </c:pt>
                <c:pt idx="13">
                  <c:v>13194475</c:v>
                </c:pt>
                <c:pt idx="14">
                  <c:v>12519300</c:v>
                </c:pt>
                <c:pt idx="15">
                  <c:v>9700800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48-47C1-8079-899F68B8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11928368"/>
        <c:axId val="-1611927824"/>
      </c:lineChart>
      <c:lineChart>
        <c:grouping val="standard"/>
        <c:varyColors val="0"/>
        <c:ser>
          <c:idx val="6"/>
          <c:order val="4"/>
          <c:tx>
            <c:strRef>
              <c:f>Info!$AH$1</c:f>
              <c:strCache>
                <c:ptCount val="1"/>
                <c:pt idx="0">
                  <c:v>PCR</c:v>
                </c:pt>
              </c:strCache>
            </c:strRef>
          </c:tx>
          <c:spPr>
            <a:ln w="5080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Info!$AH$2:$AH$17</c:f>
              <c:numCache>
                <c:formatCode>General</c:formatCode>
                <c:ptCount val="16"/>
                <c:pt idx="0">
                  <c:v>0</c:v>
                </c:pt>
                <c:pt idx="1">
                  <c:v>2.4207038332038331</c:v>
                </c:pt>
                <c:pt idx="2">
                  <c:v>2.0893605862710585</c:v>
                </c:pt>
                <c:pt idx="3">
                  <c:v>2.0893605862710585</c:v>
                </c:pt>
                <c:pt idx="4">
                  <c:v>1.4064720482424307</c:v>
                </c:pt>
                <c:pt idx="5">
                  <c:v>1.1926807203568122</c:v>
                </c:pt>
                <c:pt idx="6">
                  <c:v>0.92302218486031684</c:v>
                </c:pt>
                <c:pt idx="7">
                  <c:v>0.74992090733741779</c:v>
                </c:pt>
                <c:pt idx="8">
                  <c:v>1.168569746909947</c:v>
                </c:pt>
                <c:pt idx="9">
                  <c:v>1.2530581803410779</c:v>
                </c:pt>
                <c:pt idx="10">
                  <c:v>1.3720645243186766</c:v>
                </c:pt>
                <c:pt idx="11">
                  <c:v>1.5003295315887129</c:v>
                </c:pt>
                <c:pt idx="12">
                  <c:v>1.4948748452517462</c:v>
                </c:pt>
                <c:pt idx="13">
                  <c:v>1.5172952087442</c:v>
                </c:pt>
                <c:pt idx="14">
                  <c:v>1.3906702138885958</c:v>
                </c:pt>
                <c:pt idx="15">
                  <c:v>0.70414540492280442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8-47C1-8079-899F68B8CE23}"/>
            </c:ext>
          </c:extLst>
        </c:ser>
        <c:ser>
          <c:idx val="7"/>
          <c:order val="5"/>
          <c:tx>
            <c:strRef>
              <c:f>Info!$AI$1</c:f>
              <c:strCache>
                <c:ptCount val="1"/>
                <c:pt idx="0">
                  <c:v>Change PCR</c:v>
                </c:pt>
              </c:strCache>
            </c:strRef>
          </c:tx>
          <c:spPr>
            <a:ln w="3810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  <a:prstDash val="solid"/>
              </a:ln>
            </c:spPr>
          </c:marker>
          <c:val>
            <c:numRef>
              <c:f>Info!$AI$2:$AI$17</c:f>
              <c:numCache>
                <c:formatCode>General</c:formatCode>
                <c:ptCount val="16"/>
                <c:pt idx="0">
                  <c:v>0</c:v>
                </c:pt>
                <c:pt idx="1">
                  <c:v>2.7180926535867611</c:v>
                </c:pt>
                <c:pt idx="2">
                  <c:v>2.3056648648648648</c:v>
                </c:pt>
                <c:pt idx="3">
                  <c:v>2.3056648648648648</c:v>
                </c:pt>
                <c:pt idx="4">
                  <c:v>1.5189813768997773</c:v>
                </c:pt>
                <c:pt idx="5">
                  <c:v>1.2809616864237712</c:v>
                </c:pt>
                <c:pt idx="6">
                  <c:v>0.98119250063518892</c:v>
                </c:pt>
                <c:pt idx="7">
                  <c:v>0.79244539487598498</c:v>
                </c:pt>
                <c:pt idx="8">
                  <c:v>1.2548724379309797</c:v>
                </c:pt>
                <c:pt idx="9">
                  <c:v>1.351647690923871</c:v>
                </c:pt>
                <c:pt idx="10">
                  <c:v>1.4924211508968461</c:v>
                </c:pt>
                <c:pt idx="11">
                  <c:v>1.6448337171004692</c:v>
                </c:pt>
                <c:pt idx="12">
                  <c:v>1.6411419771367648</c:v>
                </c:pt>
                <c:pt idx="13">
                  <c:v>1.6775101158330752</c:v>
                </c:pt>
                <c:pt idx="14">
                  <c:v>1.5313407606607761</c:v>
                </c:pt>
                <c:pt idx="15">
                  <c:v>0.746626796991957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48-47C1-8079-899F68B8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39196416"/>
        <c:axId val="-1611927280"/>
      </c:lineChart>
      <c:catAx>
        <c:axId val="-161192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927824"/>
        <c:crosses val="autoZero"/>
        <c:auto val="1"/>
        <c:lblAlgn val="ctr"/>
        <c:lblOffset val="100"/>
        <c:noMultiLvlLbl val="0"/>
      </c:catAx>
      <c:valAx>
        <c:axId val="-16119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928368"/>
        <c:crosses val="autoZero"/>
        <c:crossBetween val="between"/>
      </c:valAx>
      <c:catAx>
        <c:axId val="-1639196416"/>
        <c:scaling>
          <c:orientation val="minMax"/>
        </c:scaling>
        <c:delete val="1"/>
        <c:axPos val="b"/>
        <c:majorTickMark val="out"/>
        <c:minorTickMark val="none"/>
        <c:tickLblPos val="nextTo"/>
        <c:crossAx val="-1611927280"/>
        <c:crosses val="autoZero"/>
        <c:auto val="1"/>
        <c:lblAlgn val="ctr"/>
        <c:lblOffset val="100"/>
        <c:noMultiLvlLbl val="0"/>
      </c:catAx>
      <c:valAx>
        <c:axId val="-1611927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919641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Y</a:t>
            </a:r>
            <a:endParaRPr lang="en-US" b="1"/>
          </a:p>
        </c:rich>
      </c:tx>
      <c:layout>
        <c:manualLayout>
          <c:xMode val="edge"/>
          <c:yMode val="edge"/>
          <c:x val="3.6901588286250057E-2"/>
          <c:y val="0.76435710424751357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67611149434476"/>
          <c:y val="6.292726097232676E-2"/>
          <c:w val="0.81065481984618326"/>
          <c:h val="0.6416727356966465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Info!$AF$19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Info!$AF$20:$AF$35</c:f>
              <c:numCache>
                <c:formatCode>General</c:formatCode>
                <c:ptCount val="16"/>
                <c:pt idx="0">
                  <c:v>0</c:v>
                </c:pt>
                <c:pt idx="1">
                  <c:v>12758700</c:v>
                </c:pt>
                <c:pt idx="2">
                  <c:v>14439850</c:v>
                </c:pt>
                <c:pt idx="3">
                  <c:v>14439850</c:v>
                </c:pt>
                <c:pt idx="4">
                  <c:v>15918350</c:v>
                </c:pt>
                <c:pt idx="5">
                  <c:v>14692450</c:v>
                </c:pt>
                <c:pt idx="6">
                  <c:v>13792425</c:v>
                </c:pt>
                <c:pt idx="7">
                  <c:v>13373075</c:v>
                </c:pt>
                <c:pt idx="8">
                  <c:v>15705500</c:v>
                </c:pt>
                <c:pt idx="9">
                  <c:v>15646800</c:v>
                </c:pt>
                <c:pt idx="10">
                  <c:v>14692600</c:v>
                </c:pt>
                <c:pt idx="11">
                  <c:v>14157025</c:v>
                </c:pt>
                <c:pt idx="12">
                  <c:v>14029225</c:v>
                </c:pt>
                <c:pt idx="13">
                  <c:v>12431375</c:v>
                </c:pt>
                <c:pt idx="14">
                  <c:v>11890025</c:v>
                </c:pt>
                <c:pt idx="15">
                  <c:v>12913225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9-48EC-9BE2-F5BED62E4C5B}"/>
            </c:ext>
          </c:extLst>
        </c:ser>
        <c:ser>
          <c:idx val="3"/>
          <c:order val="1"/>
          <c:tx>
            <c:strRef>
              <c:f>Info!$AG$19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c:spPr>
          <c:invertIfNegative val="0"/>
          <c:val>
            <c:numRef>
              <c:f>Info!$AG$20:$AG$35</c:f>
              <c:numCache>
                <c:formatCode>General</c:formatCode>
                <c:ptCount val="16"/>
                <c:pt idx="0">
                  <c:v>0</c:v>
                </c:pt>
                <c:pt idx="1">
                  <c:v>6371875</c:v>
                </c:pt>
                <c:pt idx="2">
                  <c:v>7009725</c:v>
                </c:pt>
                <c:pt idx="3">
                  <c:v>7009725</c:v>
                </c:pt>
                <c:pt idx="4">
                  <c:v>5714850</c:v>
                </c:pt>
                <c:pt idx="5">
                  <c:v>4894125</c:v>
                </c:pt>
                <c:pt idx="6">
                  <c:v>4606300</c:v>
                </c:pt>
                <c:pt idx="7">
                  <c:v>4508225</c:v>
                </c:pt>
                <c:pt idx="8">
                  <c:v>5437250</c:v>
                </c:pt>
                <c:pt idx="9">
                  <c:v>5556425</c:v>
                </c:pt>
                <c:pt idx="10">
                  <c:v>5868225</c:v>
                </c:pt>
                <c:pt idx="11">
                  <c:v>6583425</c:v>
                </c:pt>
                <c:pt idx="12">
                  <c:v>6983175</c:v>
                </c:pt>
                <c:pt idx="13">
                  <c:v>6737775</c:v>
                </c:pt>
                <c:pt idx="14">
                  <c:v>6273325</c:v>
                </c:pt>
                <c:pt idx="15">
                  <c:v>4377275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9-48EC-9BE2-F5BED62E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30048"/>
        <c:axId val="-1379331680"/>
      </c:barChart>
      <c:lineChart>
        <c:grouping val="standard"/>
        <c:varyColors val="0"/>
        <c:ser>
          <c:idx val="4"/>
          <c:order val="2"/>
          <c:tx>
            <c:strRef>
              <c:f>Info!$AD$19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Info!$AD$20:$AD$35</c:f>
              <c:numCache>
                <c:formatCode>General</c:formatCode>
                <c:ptCount val="16"/>
                <c:pt idx="0">
                  <c:v>0</c:v>
                </c:pt>
                <c:pt idx="1">
                  <c:v>15041650</c:v>
                </c:pt>
                <c:pt idx="2">
                  <c:v>16722800</c:v>
                </c:pt>
                <c:pt idx="3">
                  <c:v>16722800</c:v>
                </c:pt>
                <c:pt idx="4">
                  <c:v>18201300</c:v>
                </c:pt>
                <c:pt idx="5">
                  <c:v>16975400</c:v>
                </c:pt>
                <c:pt idx="6">
                  <c:v>16075375</c:v>
                </c:pt>
                <c:pt idx="7">
                  <c:v>15656025</c:v>
                </c:pt>
                <c:pt idx="8">
                  <c:v>17988450</c:v>
                </c:pt>
                <c:pt idx="9">
                  <c:v>17929750</c:v>
                </c:pt>
                <c:pt idx="10">
                  <c:v>16975550</c:v>
                </c:pt>
                <c:pt idx="11">
                  <c:v>16439975</c:v>
                </c:pt>
                <c:pt idx="12">
                  <c:v>16312175</c:v>
                </c:pt>
                <c:pt idx="13">
                  <c:v>14714325</c:v>
                </c:pt>
                <c:pt idx="14">
                  <c:v>14172975</c:v>
                </c:pt>
                <c:pt idx="15">
                  <c:v>15196175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9-48EC-9BE2-F5BED62E4C5B}"/>
            </c:ext>
          </c:extLst>
        </c:ser>
        <c:ser>
          <c:idx val="5"/>
          <c:order val="3"/>
          <c:tx>
            <c:strRef>
              <c:f>Info!$AE$19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Info!$AE$20:$AE$35</c:f>
              <c:numCache>
                <c:formatCode>General</c:formatCode>
                <c:ptCount val="16"/>
                <c:pt idx="0">
                  <c:v>0</c:v>
                </c:pt>
                <c:pt idx="1">
                  <c:v>6477425</c:v>
                </c:pt>
                <c:pt idx="2">
                  <c:v>7115275</c:v>
                </c:pt>
                <c:pt idx="3">
                  <c:v>7115275</c:v>
                </c:pt>
                <c:pt idx="4">
                  <c:v>5820400</c:v>
                </c:pt>
                <c:pt idx="5">
                  <c:v>4999675</c:v>
                </c:pt>
                <c:pt idx="6">
                  <c:v>4711850</c:v>
                </c:pt>
                <c:pt idx="7">
                  <c:v>4613775</c:v>
                </c:pt>
                <c:pt idx="8">
                  <c:v>5542800</c:v>
                </c:pt>
                <c:pt idx="9">
                  <c:v>5661975</c:v>
                </c:pt>
                <c:pt idx="10">
                  <c:v>5973775</c:v>
                </c:pt>
                <c:pt idx="11">
                  <c:v>6688975</c:v>
                </c:pt>
                <c:pt idx="12">
                  <c:v>7088725</c:v>
                </c:pt>
                <c:pt idx="13">
                  <c:v>6843325</c:v>
                </c:pt>
                <c:pt idx="14">
                  <c:v>6378875</c:v>
                </c:pt>
                <c:pt idx="15">
                  <c:v>4482825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59-48EC-9BE2-F5BED62E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0048"/>
        <c:axId val="-1379331680"/>
      </c:lineChart>
      <c:lineChart>
        <c:grouping val="standard"/>
        <c:varyColors val="0"/>
        <c:ser>
          <c:idx val="6"/>
          <c:order val="4"/>
          <c:tx>
            <c:strRef>
              <c:f>Info!$AH$19</c:f>
              <c:strCache>
                <c:ptCount val="1"/>
                <c:pt idx="0">
                  <c:v>PCR</c:v>
                </c:pt>
              </c:strCache>
            </c:strRef>
          </c:tx>
          <c:spPr>
            <a:ln w="5080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Info!$AH$20:$AH$35</c:f>
              <c:numCache>
                <c:formatCode>General</c:formatCode>
                <c:ptCount val="16"/>
                <c:pt idx="0">
                  <c:v>0</c:v>
                </c:pt>
                <c:pt idx="1">
                  <c:v>0.43063261011923559</c:v>
                </c:pt>
                <c:pt idx="2">
                  <c:v>0.42548347166742412</c:v>
                </c:pt>
                <c:pt idx="3">
                  <c:v>0.42548347166742412</c:v>
                </c:pt>
                <c:pt idx="4">
                  <c:v>0.31977935641959643</c:v>
                </c:pt>
                <c:pt idx="5">
                  <c:v>0.29452472401239438</c:v>
                </c:pt>
                <c:pt idx="6">
                  <c:v>0.2931098030372542</c:v>
                </c:pt>
                <c:pt idx="7">
                  <c:v>0.29469645072743561</c:v>
                </c:pt>
                <c:pt idx="8">
                  <c:v>0.30813105075756941</c:v>
                </c:pt>
                <c:pt idx="9">
                  <c:v>0.3157866116370836</c:v>
                </c:pt>
                <c:pt idx="10">
                  <c:v>0.35190465110114255</c:v>
                </c:pt>
                <c:pt idx="11">
                  <c:v>0.40687257736097532</c:v>
                </c:pt>
                <c:pt idx="12">
                  <c:v>0.4345665124362631</c:v>
                </c:pt>
                <c:pt idx="13">
                  <c:v>0.46507909808978665</c:v>
                </c:pt>
                <c:pt idx="14">
                  <c:v>0.45007311450136617</c:v>
                </c:pt>
                <c:pt idx="15">
                  <c:v>0.29499693179369152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59-48EC-9BE2-F5BED62E4C5B}"/>
            </c:ext>
          </c:extLst>
        </c:ser>
        <c:ser>
          <c:idx val="7"/>
          <c:order val="5"/>
          <c:tx>
            <c:strRef>
              <c:f>Info!$AI$19</c:f>
              <c:strCache>
                <c:ptCount val="1"/>
                <c:pt idx="0">
                  <c:v>Change PCR</c:v>
                </c:pt>
              </c:strCache>
            </c:strRef>
          </c:tx>
          <c:spPr>
            <a:ln w="3810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  <a:prstDash val="solid"/>
              </a:ln>
            </c:spPr>
          </c:marker>
          <c:val>
            <c:numRef>
              <c:f>Info!$AI$20:$AI$35</c:f>
              <c:numCache>
                <c:formatCode>General</c:formatCode>
                <c:ptCount val="16"/>
                <c:pt idx="0">
                  <c:v>0</c:v>
                </c:pt>
                <c:pt idx="1">
                  <c:v>0.49941412526354567</c:v>
                </c:pt>
                <c:pt idx="2">
                  <c:v>0.48544306208166982</c:v>
                </c:pt>
                <c:pt idx="3">
                  <c:v>0.48544306208166982</c:v>
                </c:pt>
                <c:pt idx="4">
                  <c:v>0.35901019892137059</c:v>
                </c:pt>
                <c:pt idx="5">
                  <c:v>0.33310475788585292</c:v>
                </c:pt>
                <c:pt idx="6">
                  <c:v>0.33397317730565873</c:v>
                </c:pt>
                <c:pt idx="7">
                  <c:v>0.33711207033535667</c:v>
                </c:pt>
                <c:pt idx="8">
                  <c:v>0.34620037566457612</c:v>
                </c:pt>
                <c:pt idx="9">
                  <c:v>0.35511574251604161</c:v>
                </c:pt>
                <c:pt idx="10">
                  <c:v>0.39940003811442493</c:v>
                </c:pt>
                <c:pt idx="11">
                  <c:v>0.46502884610290651</c:v>
                </c:pt>
                <c:pt idx="12">
                  <c:v>0.4977591420766293</c:v>
                </c:pt>
                <c:pt idx="13">
                  <c:v>0.5419975666408583</c:v>
                </c:pt>
                <c:pt idx="14">
                  <c:v>0.52761243142886582</c:v>
                </c:pt>
                <c:pt idx="15">
                  <c:v>0.33897612718743769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59-48EC-9BE2-F5BED62E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3312"/>
        <c:axId val="-1379331136"/>
      </c:lineChart>
      <c:catAx>
        <c:axId val="-137933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1680"/>
        <c:crosses val="autoZero"/>
        <c:auto val="1"/>
        <c:lblAlgn val="ctr"/>
        <c:lblOffset val="100"/>
        <c:noMultiLvlLbl val="0"/>
      </c:catAx>
      <c:valAx>
        <c:axId val="-137933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0048"/>
        <c:crosses val="autoZero"/>
        <c:crossBetween val="between"/>
      </c:valAx>
      <c:catAx>
        <c:axId val="-1379333312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31136"/>
        <c:crosses val="autoZero"/>
        <c:auto val="1"/>
        <c:lblAlgn val="ctr"/>
        <c:lblOffset val="100"/>
        <c:noMultiLvlLbl val="0"/>
      </c:catAx>
      <c:valAx>
        <c:axId val="-13793311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331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Y+50</a:t>
            </a:r>
          </a:p>
        </c:rich>
      </c:tx>
      <c:layout>
        <c:manualLayout>
          <c:xMode val="edge"/>
          <c:yMode val="edge"/>
          <c:x val="2.1459143333224431E-2"/>
          <c:y val="0.76522331189553194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937510936132979"/>
          <c:y val="7.763485402782791E-2"/>
          <c:w val="0.79804075320460466"/>
          <c:h val="0.636865183399663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Info!$Y$19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Info!$Y$20:$Y$27</c:f>
              <c:numCache>
                <c:formatCode>General</c:formatCode>
                <c:ptCount val="8"/>
                <c:pt idx="0">
                  <c:v>0</c:v>
                </c:pt>
                <c:pt idx="1">
                  <c:v>4159200</c:v>
                </c:pt>
                <c:pt idx="2">
                  <c:v>4368475</c:v>
                </c:pt>
                <c:pt idx="3">
                  <c:v>4368475</c:v>
                </c:pt>
                <c:pt idx="4">
                  <c:v>5007325</c:v>
                </c:pt>
                <c:pt idx="5">
                  <c:v>5034725</c:v>
                </c:pt>
                <c:pt idx="6">
                  <c:v>5109750</c:v>
                </c:pt>
                <c:pt idx="7">
                  <c:v>5458350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1-4798-A591-32C0BC144DFB}"/>
            </c:ext>
          </c:extLst>
        </c:ser>
        <c:ser>
          <c:idx val="3"/>
          <c:order val="1"/>
          <c:tx>
            <c:strRef>
              <c:f>Info!$Z$19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Info!$Z$20:$Z$27</c:f>
              <c:numCache>
                <c:formatCode>General</c:formatCode>
                <c:ptCount val="8"/>
                <c:pt idx="0">
                  <c:v>0</c:v>
                </c:pt>
                <c:pt idx="1">
                  <c:v>1247425</c:v>
                </c:pt>
                <c:pt idx="2">
                  <c:v>1532200</c:v>
                </c:pt>
                <c:pt idx="3">
                  <c:v>1532200</c:v>
                </c:pt>
                <c:pt idx="4">
                  <c:v>1065100</c:v>
                </c:pt>
                <c:pt idx="5">
                  <c:v>913100</c:v>
                </c:pt>
                <c:pt idx="6">
                  <c:v>829800</c:v>
                </c:pt>
                <c:pt idx="7">
                  <c:v>772700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1-4798-A591-32C0BC14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41472"/>
        <c:axId val="-1379333856"/>
      </c:barChart>
      <c:lineChart>
        <c:grouping val="standard"/>
        <c:varyColors val="0"/>
        <c:ser>
          <c:idx val="4"/>
          <c:order val="2"/>
          <c:tx>
            <c:strRef>
              <c:f>Info!$W$19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Info!$W$20:$W$27</c:f>
              <c:numCache>
                <c:formatCode>General</c:formatCode>
                <c:ptCount val="8"/>
                <c:pt idx="0">
                  <c:v>0</c:v>
                </c:pt>
                <c:pt idx="1">
                  <c:v>5104225</c:v>
                </c:pt>
                <c:pt idx="2">
                  <c:v>5313500</c:v>
                </c:pt>
                <c:pt idx="3">
                  <c:v>5313500</c:v>
                </c:pt>
                <c:pt idx="4">
                  <c:v>5952350</c:v>
                </c:pt>
                <c:pt idx="5">
                  <c:v>5979750</c:v>
                </c:pt>
                <c:pt idx="6">
                  <c:v>6054775</c:v>
                </c:pt>
                <c:pt idx="7">
                  <c:v>6403375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1-4798-A591-32C0BC144DFB}"/>
            </c:ext>
          </c:extLst>
        </c:ser>
        <c:ser>
          <c:idx val="5"/>
          <c:order val="3"/>
          <c:tx>
            <c:strRef>
              <c:f>Info!$X$19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Info!$X$20:$X$27</c:f>
              <c:numCache>
                <c:formatCode>General</c:formatCode>
                <c:ptCount val="8"/>
                <c:pt idx="0">
                  <c:v>0</c:v>
                </c:pt>
                <c:pt idx="1">
                  <c:v>1269375</c:v>
                </c:pt>
                <c:pt idx="2">
                  <c:v>1554150</c:v>
                </c:pt>
                <c:pt idx="3">
                  <c:v>1554150</c:v>
                </c:pt>
                <c:pt idx="4">
                  <c:v>1087050</c:v>
                </c:pt>
                <c:pt idx="5">
                  <c:v>935050</c:v>
                </c:pt>
                <c:pt idx="6">
                  <c:v>851750</c:v>
                </c:pt>
                <c:pt idx="7">
                  <c:v>794650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1-4798-A591-32C0BC14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41472"/>
        <c:axId val="-1379333856"/>
      </c:lineChart>
      <c:lineChart>
        <c:grouping val="standard"/>
        <c:varyColors val="0"/>
        <c:ser>
          <c:idx val="6"/>
          <c:order val="4"/>
          <c:tx>
            <c:strRef>
              <c:f>Info!$AA$19</c:f>
              <c:strCache>
                <c:ptCount val="1"/>
                <c:pt idx="0">
                  <c:v>PCR</c:v>
                </c:pt>
              </c:strCache>
            </c:strRef>
          </c:tx>
          <c:spPr>
            <a:ln w="5080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Info!$AA$20:$AA$27</c:f>
              <c:numCache>
                <c:formatCode>General</c:formatCode>
                <c:ptCount val="8"/>
                <c:pt idx="0">
                  <c:v>0</c:v>
                </c:pt>
                <c:pt idx="1">
                  <c:v>0.24869103536775905</c:v>
                </c:pt>
                <c:pt idx="2">
                  <c:v>0.29249082525642234</c:v>
                </c:pt>
                <c:pt idx="3">
                  <c:v>0.29249082525642234</c:v>
                </c:pt>
                <c:pt idx="4">
                  <c:v>0.1826253496518182</c:v>
                </c:pt>
                <c:pt idx="5">
                  <c:v>0.1563694134370166</c:v>
                </c:pt>
                <c:pt idx="6">
                  <c:v>0.14067409606467624</c:v>
                </c:pt>
                <c:pt idx="7">
                  <c:v>0.12409861986842875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1-4798-A591-32C0BC144DFB}"/>
            </c:ext>
          </c:extLst>
        </c:ser>
        <c:ser>
          <c:idx val="7"/>
          <c:order val="5"/>
          <c:tx>
            <c:strRef>
              <c:f>Info!$AB$19</c:f>
              <c:strCache>
                <c:ptCount val="1"/>
                <c:pt idx="0">
                  <c:v>Change PCR</c:v>
                </c:pt>
              </c:strCache>
            </c:strRef>
          </c:tx>
          <c:spPr>
            <a:ln w="3810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  <a:prstDash val="solid"/>
              </a:ln>
            </c:spPr>
          </c:marker>
          <c:val>
            <c:numRef>
              <c:f>Info!$AB$20:$AB$27</c:f>
              <c:numCache>
                <c:formatCode>General</c:formatCode>
                <c:ptCount val="8"/>
                <c:pt idx="0">
                  <c:v>0</c:v>
                </c:pt>
                <c:pt idx="1">
                  <c:v>0.29991945566455086</c:v>
                </c:pt>
                <c:pt idx="2">
                  <c:v>0.35074024688249333</c:v>
                </c:pt>
                <c:pt idx="3">
                  <c:v>0.35074024688249333</c:v>
                </c:pt>
                <c:pt idx="4">
                  <c:v>0.21270838222004762</c:v>
                </c:pt>
                <c:pt idx="5">
                  <c:v>0.18136045166319908</c:v>
                </c:pt>
                <c:pt idx="6">
                  <c:v>0.16239542051959488</c:v>
                </c:pt>
                <c:pt idx="7">
                  <c:v>0.14156292652541519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E1-4798-A591-32C0BC14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2768"/>
        <c:axId val="-1379327872"/>
      </c:lineChart>
      <c:catAx>
        <c:axId val="-1379341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3856"/>
        <c:crosses val="autoZero"/>
        <c:auto val="1"/>
        <c:lblAlgn val="ctr"/>
        <c:lblOffset val="100"/>
        <c:noMultiLvlLbl val="0"/>
      </c:catAx>
      <c:valAx>
        <c:axId val="-13793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41472"/>
        <c:crosses val="autoZero"/>
        <c:crossBetween val="between"/>
      </c:valAx>
      <c:catAx>
        <c:axId val="-1379332768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27872"/>
        <c:crosses val="autoZero"/>
        <c:auto val="1"/>
        <c:lblAlgn val="ctr"/>
        <c:lblOffset val="100"/>
        <c:noMultiLvlLbl val="0"/>
      </c:catAx>
      <c:valAx>
        <c:axId val="-1379327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276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Info!$D$38</c:f>
              <c:strCache>
                <c:ptCount val="1"/>
                <c:pt idx="0">
                  <c:v>Ratio M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Info!$D$39:$D$46</c:f>
              <c:numCache>
                <c:formatCode>0.00</c:formatCode>
                <c:ptCount val="8"/>
                <c:pt idx="0">
                  <c:v>0</c:v>
                </c:pt>
                <c:pt idx="1">
                  <c:v>1.1509712605991085</c:v>
                </c:pt>
                <c:pt idx="2">
                  <c:v>1.0730486348447685</c:v>
                </c:pt>
                <c:pt idx="3">
                  <c:v>1.0786256944668655</c:v>
                </c:pt>
                <c:pt idx="4">
                  <c:v>0.84724483407310891</c:v>
                </c:pt>
                <c:pt idx="5">
                  <c:v>0.79376485155062193</c:v>
                </c:pt>
                <c:pt idx="6">
                  <c:v>0.73882029944381933</c:v>
                </c:pt>
                <c:pt idx="7">
                  <c:v>0.67631658236086101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A-4745-84FC-B096C00F5271}"/>
            </c:ext>
          </c:extLst>
        </c:ser>
        <c:ser>
          <c:idx val="1"/>
          <c:order val="1"/>
          <c:tx>
            <c:strRef>
              <c:f>Info!$G$38</c:f>
              <c:strCache>
                <c:ptCount val="1"/>
                <c:pt idx="0">
                  <c:v>Ratio I</c:v>
                </c:pt>
              </c:strCache>
            </c:strRef>
          </c:tx>
          <c:spPr>
            <a:ln w="635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Info!$G$39:$G$46</c:f>
              <c:numCache>
                <c:formatCode>0.00</c:formatCode>
                <c:ptCount val="8"/>
                <c:pt idx="0">
                  <c:v>0</c:v>
                </c:pt>
                <c:pt idx="1">
                  <c:v>1.1625823815098775</c:v>
                </c:pt>
                <c:pt idx="2">
                  <c:v>1.0863085021204013</c:v>
                </c:pt>
                <c:pt idx="3">
                  <c:v>1.0863085021204013</c:v>
                </c:pt>
                <c:pt idx="4">
                  <c:v>0.8511069194318136</c:v>
                </c:pt>
                <c:pt idx="5">
                  <c:v>0.79766860136136675</c:v>
                </c:pt>
                <c:pt idx="6">
                  <c:v>0.7439430936644581</c:v>
                </c:pt>
                <c:pt idx="7">
                  <c:v>0.6786669259158119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A-4745-84FC-B096C00F5271}"/>
            </c:ext>
          </c:extLst>
        </c:ser>
        <c:ser>
          <c:idx val="2"/>
          <c:order val="2"/>
          <c:tx>
            <c:strRef>
              <c:f>Info!$H$38</c:f>
              <c:strCache>
                <c:ptCount val="1"/>
                <c:pt idx="0">
                  <c:v>Ratio T</c:v>
                </c:pt>
              </c:strCache>
            </c:strRef>
          </c:tx>
          <c:spPr>
            <a:ln w="2222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Info!$H$39:$H$46</c:f>
              <c:numCache>
                <c:formatCode>0.00</c:formatCode>
                <c:ptCount val="8"/>
                <c:pt idx="0">
                  <c:v>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AA-4745-84FC-B096C00F5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9332224"/>
        <c:axId val="-1379329504"/>
      </c:lineChart>
      <c:catAx>
        <c:axId val="-137933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29504"/>
        <c:crosses val="autoZero"/>
        <c:auto val="1"/>
        <c:lblAlgn val="ctr"/>
        <c:lblOffset val="100"/>
        <c:noMultiLvlLbl val="0"/>
      </c:catAx>
      <c:valAx>
        <c:axId val="-13793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22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</a:t>
            </a:r>
            <a:r>
              <a:rPr lang="en-US" baseline="0"/>
              <a:t> change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Info!$D$50</c:f>
              <c:strCache>
                <c:ptCount val="1"/>
                <c:pt idx="0">
                  <c:v>VI M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Info!$D$51:$D$58</c:f>
              <c:numCache>
                <c:formatCode>0.00</c:formatCode>
                <c:ptCount val="8"/>
                <c:pt idx="0">
                  <c:v>0</c:v>
                </c:pt>
                <c:pt idx="1">
                  <c:v>5.5959999999999992</c:v>
                </c:pt>
                <c:pt idx="2">
                  <c:v>5.4314999999999998</c:v>
                </c:pt>
                <c:pt idx="3">
                  <c:v>4.2939999999999996</c:v>
                </c:pt>
                <c:pt idx="4">
                  <c:v>4.2939999999999996</c:v>
                </c:pt>
                <c:pt idx="5">
                  <c:v>4.2939999999999996</c:v>
                </c:pt>
                <c:pt idx="6">
                  <c:v>4.2939999999999996</c:v>
                </c:pt>
                <c:pt idx="7">
                  <c:v>4.4009999999999998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8-4BE2-A4D4-2B82973FB64D}"/>
            </c:ext>
          </c:extLst>
        </c:ser>
        <c:ser>
          <c:idx val="1"/>
          <c:order val="1"/>
          <c:tx>
            <c:strRef>
              <c:f>Info!$G$50</c:f>
              <c:strCache>
                <c:ptCount val="1"/>
                <c:pt idx="0">
                  <c:v>VI I</c:v>
                </c:pt>
              </c:strCache>
            </c:strRef>
          </c:tx>
          <c:spPr>
            <a:ln w="571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Info!$G$51:$G$58</c:f>
              <c:numCache>
                <c:formatCode>0.00</c:formatCode>
                <c:ptCount val="8"/>
                <c:pt idx="0">
                  <c:v>0</c:v>
                </c:pt>
                <c:pt idx="1">
                  <c:v>4.0925000000000002</c:v>
                </c:pt>
                <c:pt idx="2">
                  <c:v>4.0437500000000002</c:v>
                </c:pt>
                <c:pt idx="3">
                  <c:v>4.0437500000000002</c:v>
                </c:pt>
                <c:pt idx="4">
                  <c:v>4.0437500000000002</c:v>
                </c:pt>
                <c:pt idx="5">
                  <c:v>4.0437500000000002</c:v>
                </c:pt>
                <c:pt idx="6">
                  <c:v>4.0437500000000002</c:v>
                </c:pt>
                <c:pt idx="7">
                  <c:v>4.0925000000000002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8-4BE2-A4D4-2B82973FB64D}"/>
            </c:ext>
          </c:extLst>
        </c:ser>
        <c:ser>
          <c:idx val="2"/>
          <c:order val="2"/>
          <c:tx>
            <c:strRef>
              <c:f>Info!$H$50</c:f>
              <c:strCache>
                <c:ptCount val="1"/>
                <c:pt idx="0">
                  <c:v>VI T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Info!$H$51:$H$58</c:f>
              <c:numCache>
                <c:formatCode>0.00</c:formatCode>
                <c:ptCount val="8"/>
                <c:pt idx="0">
                  <c:v>6.06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8-4BE2-A4D4-2B82973F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9342016"/>
        <c:axId val="-1379328960"/>
      </c:lineChart>
      <c:catAx>
        <c:axId val="-1379342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28960"/>
        <c:crosses val="autoZero"/>
        <c:auto val="1"/>
        <c:lblAlgn val="ctr"/>
        <c:lblOffset val="100"/>
        <c:noMultiLvlLbl val="0"/>
      </c:catAx>
      <c:valAx>
        <c:axId val="-13793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4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X-200</a:t>
            </a:r>
          </a:p>
        </c:rich>
      </c:tx>
      <c:layout>
        <c:manualLayout>
          <c:xMode val="edge"/>
          <c:yMode val="edge"/>
          <c:x val="0.42060411198600178"/>
          <c:y val="2.77777777777777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Info!$D$1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Info!$D$2:$D$9</c:f>
              <c:numCache>
                <c:formatCode>General</c:formatCode>
                <c:ptCount val="8"/>
                <c:pt idx="0">
                  <c:v>0</c:v>
                </c:pt>
                <c:pt idx="1">
                  <c:v>-404075</c:v>
                </c:pt>
                <c:pt idx="2">
                  <c:v>-390525</c:v>
                </c:pt>
                <c:pt idx="3">
                  <c:v>-390525</c:v>
                </c:pt>
                <c:pt idx="4">
                  <c:v>-357050</c:v>
                </c:pt>
                <c:pt idx="5">
                  <c:v>-354950</c:v>
                </c:pt>
                <c:pt idx="6">
                  <c:v>-336700</c:v>
                </c:pt>
                <c:pt idx="7">
                  <c:v>-323650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F-4A63-9A29-DBAF87354D31}"/>
            </c:ext>
          </c:extLst>
        </c:ser>
        <c:ser>
          <c:idx val="3"/>
          <c:order val="1"/>
          <c:tx>
            <c:strRef>
              <c:f>Info!$E$1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Info!$E$2:$E$9</c:f>
              <c:numCache>
                <c:formatCode>General</c:formatCode>
                <c:ptCount val="8"/>
                <c:pt idx="0">
                  <c:v>0</c:v>
                </c:pt>
                <c:pt idx="1">
                  <c:v>2234725</c:v>
                </c:pt>
                <c:pt idx="2">
                  <c:v>2266300</c:v>
                </c:pt>
                <c:pt idx="3">
                  <c:v>2266300</c:v>
                </c:pt>
                <c:pt idx="4">
                  <c:v>2753050</c:v>
                </c:pt>
                <c:pt idx="5">
                  <c:v>3069875</c:v>
                </c:pt>
                <c:pt idx="6">
                  <c:v>3160925</c:v>
                </c:pt>
                <c:pt idx="7">
                  <c:v>3151000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F-4A63-9A29-DBAF8735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28416"/>
        <c:axId val="-1379343104"/>
      </c:barChart>
      <c:lineChart>
        <c:grouping val="standard"/>
        <c:varyColors val="0"/>
        <c:ser>
          <c:idx val="4"/>
          <c:order val="2"/>
          <c:tx>
            <c:strRef>
              <c:f>Info!$B$1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Info!$B$2:$B$9</c:f>
              <c:numCache>
                <c:formatCode>General</c:formatCode>
                <c:ptCount val="8"/>
                <c:pt idx="0">
                  <c:v>0</c:v>
                </c:pt>
                <c:pt idx="1">
                  <c:v>395625</c:v>
                </c:pt>
                <c:pt idx="2">
                  <c:v>409175</c:v>
                </c:pt>
                <c:pt idx="3">
                  <c:v>409175</c:v>
                </c:pt>
                <c:pt idx="4">
                  <c:v>442650</c:v>
                </c:pt>
                <c:pt idx="5">
                  <c:v>444750</c:v>
                </c:pt>
                <c:pt idx="6">
                  <c:v>463000</c:v>
                </c:pt>
                <c:pt idx="7">
                  <c:v>476050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F-4A63-9A29-DBAF87354D31}"/>
            </c:ext>
          </c:extLst>
        </c:ser>
        <c:ser>
          <c:idx val="5"/>
          <c:order val="3"/>
          <c:tx>
            <c:strRef>
              <c:f>Info!$C$1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Info!$C$2:$C$9</c:f>
              <c:numCache>
                <c:formatCode>General</c:formatCode>
                <c:ptCount val="8"/>
                <c:pt idx="0">
                  <c:v>0</c:v>
                </c:pt>
                <c:pt idx="1">
                  <c:v>3034275</c:v>
                </c:pt>
                <c:pt idx="2">
                  <c:v>3065850</c:v>
                </c:pt>
                <c:pt idx="3">
                  <c:v>3065850</c:v>
                </c:pt>
                <c:pt idx="4">
                  <c:v>3552600</c:v>
                </c:pt>
                <c:pt idx="5">
                  <c:v>3869425</c:v>
                </c:pt>
                <c:pt idx="6">
                  <c:v>3960475</c:v>
                </c:pt>
                <c:pt idx="7">
                  <c:v>3950550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EF-4A63-9A29-DBAF8735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28416"/>
        <c:axId val="-1379343104"/>
      </c:lineChart>
      <c:lineChart>
        <c:grouping val="standard"/>
        <c:varyColors val="0"/>
        <c:ser>
          <c:idx val="6"/>
          <c:order val="4"/>
          <c:tx>
            <c:strRef>
              <c:f>Info!$F$1</c:f>
              <c:strCache>
                <c:ptCount val="1"/>
                <c:pt idx="0">
                  <c:v>PCR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Info!$F$2:$F$9</c:f>
              <c:numCache>
                <c:formatCode>General</c:formatCode>
                <c:ptCount val="8"/>
                <c:pt idx="0">
                  <c:v>0</c:v>
                </c:pt>
                <c:pt idx="1">
                  <c:v>7.6695734597156395</c:v>
                </c:pt>
                <c:pt idx="2">
                  <c:v>7.4927598215922284</c:v>
                </c:pt>
                <c:pt idx="3">
                  <c:v>7.4927598215922284</c:v>
                </c:pt>
                <c:pt idx="4">
                  <c:v>8.0257539817011185</c:v>
                </c:pt>
                <c:pt idx="5">
                  <c:v>8.7002248454187754</c:v>
                </c:pt>
                <c:pt idx="6">
                  <c:v>8.5539416846652276</c:v>
                </c:pt>
                <c:pt idx="7">
                  <c:v>8.2986030879109336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EF-4A63-9A29-DBAF8735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40928"/>
        <c:axId val="-1379330592"/>
      </c:lineChart>
      <c:catAx>
        <c:axId val="-1379328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43104"/>
        <c:crosses val="autoZero"/>
        <c:auto val="1"/>
        <c:lblAlgn val="ctr"/>
        <c:lblOffset val="100"/>
        <c:noMultiLvlLbl val="0"/>
      </c:catAx>
      <c:valAx>
        <c:axId val="-137934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28416"/>
        <c:crosses val="autoZero"/>
        <c:crossBetween val="between"/>
      </c:valAx>
      <c:catAx>
        <c:axId val="-1379340928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30592"/>
        <c:crosses val="autoZero"/>
        <c:auto val="1"/>
        <c:lblAlgn val="ctr"/>
        <c:lblOffset val="100"/>
        <c:noMultiLvlLbl val="0"/>
      </c:catAx>
      <c:valAx>
        <c:axId val="-1379330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4092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X-150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Info!$K$1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Info!$K$2:$K$9</c:f>
              <c:numCache>
                <c:formatCode>General</c:formatCode>
                <c:ptCount val="8"/>
                <c:pt idx="0">
                  <c:v>0</c:v>
                </c:pt>
                <c:pt idx="1">
                  <c:v>-1124225</c:v>
                </c:pt>
                <c:pt idx="2">
                  <c:v>-976000</c:v>
                </c:pt>
                <c:pt idx="3">
                  <c:v>-976000</c:v>
                </c:pt>
                <c:pt idx="4">
                  <c:v>-785975</c:v>
                </c:pt>
                <c:pt idx="5">
                  <c:v>-699500</c:v>
                </c:pt>
                <c:pt idx="6">
                  <c:v>-641825</c:v>
                </c:pt>
                <c:pt idx="7">
                  <c:v>-553400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5-4668-A7A1-A23516EBE882}"/>
            </c:ext>
          </c:extLst>
        </c:ser>
        <c:ser>
          <c:idx val="3"/>
          <c:order val="1"/>
          <c:tx>
            <c:strRef>
              <c:f>Info!$L$1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Info!$L$2:$L$9</c:f>
              <c:numCache>
                <c:formatCode>General</c:formatCode>
                <c:ptCount val="8"/>
                <c:pt idx="0">
                  <c:v>0</c:v>
                </c:pt>
                <c:pt idx="1">
                  <c:v>4679875</c:v>
                </c:pt>
                <c:pt idx="2">
                  <c:v>5229825</c:v>
                </c:pt>
                <c:pt idx="3">
                  <c:v>5229825</c:v>
                </c:pt>
                <c:pt idx="4">
                  <c:v>5935925</c:v>
                </c:pt>
                <c:pt idx="5">
                  <c:v>6233500</c:v>
                </c:pt>
                <c:pt idx="6">
                  <c:v>6723850</c:v>
                </c:pt>
                <c:pt idx="7">
                  <c:v>6858225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5-4668-A7A1-A23516EB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40384"/>
        <c:axId val="-1379339296"/>
      </c:barChart>
      <c:lineChart>
        <c:grouping val="standard"/>
        <c:varyColors val="0"/>
        <c:ser>
          <c:idx val="4"/>
          <c:order val="2"/>
          <c:tx>
            <c:strRef>
              <c:f>Info!$I$1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Info!$I$2:$I$9</c:f>
              <c:numCache>
                <c:formatCode>General</c:formatCode>
                <c:ptCount val="8"/>
                <c:pt idx="0">
                  <c:v>0</c:v>
                </c:pt>
                <c:pt idx="1">
                  <c:v>901975</c:v>
                </c:pt>
                <c:pt idx="2">
                  <c:v>1050200</c:v>
                </c:pt>
                <c:pt idx="3">
                  <c:v>1050200</c:v>
                </c:pt>
                <c:pt idx="4">
                  <c:v>1240225</c:v>
                </c:pt>
                <c:pt idx="5">
                  <c:v>1326700</c:v>
                </c:pt>
                <c:pt idx="6">
                  <c:v>1384375</c:v>
                </c:pt>
                <c:pt idx="7">
                  <c:v>1472800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5-4668-A7A1-A23516EBE882}"/>
            </c:ext>
          </c:extLst>
        </c:ser>
        <c:ser>
          <c:idx val="5"/>
          <c:order val="3"/>
          <c:tx>
            <c:strRef>
              <c:f>Info!$J$1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Info!$J$2:$J$9</c:f>
              <c:numCache>
                <c:formatCode>General</c:formatCode>
                <c:ptCount val="8"/>
                <c:pt idx="0">
                  <c:v>0</c:v>
                </c:pt>
                <c:pt idx="1">
                  <c:v>5791150</c:v>
                </c:pt>
                <c:pt idx="2">
                  <c:v>6341100</c:v>
                </c:pt>
                <c:pt idx="3">
                  <c:v>6341100</c:v>
                </c:pt>
                <c:pt idx="4">
                  <c:v>7047200</c:v>
                </c:pt>
                <c:pt idx="5">
                  <c:v>7344775</c:v>
                </c:pt>
                <c:pt idx="6">
                  <c:v>7835125</c:v>
                </c:pt>
                <c:pt idx="7">
                  <c:v>7969500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C5-4668-A7A1-A23516EB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40384"/>
        <c:axId val="-1379339296"/>
      </c:lineChart>
      <c:lineChart>
        <c:grouping val="standard"/>
        <c:varyColors val="0"/>
        <c:ser>
          <c:idx val="6"/>
          <c:order val="4"/>
          <c:tx>
            <c:strRef>
              <c:f>Info!$M$1</c:f>
              <c:strCache>
                <c:ptCount val="1"/>
                <c:pt idx="0">
                  <c:v>PCR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Info!$M$2:$M$9</c:f>
              <c:numCache>
                <c:formatCode>General</c:formatCode>
                <c:ptCount val="8"/>
                <c:pt idx="0">
                  <c:v>0</c:v>
                </c:pt>
                <c:pt idx="1">
                  <c:v>6.4205216330829566</c:v>
                </c:pt>
                <c:pt idx="2">
                  <c:v>6.0379927632831842</c:v>
                </c:pt>
                <c:pt idx="3">
                  <c:v>6.0379927632831842</c:v>
                </c:pt>
                <c:pt idx="4">
                  <c:v>5.6821947630470282</c:v>
                </c:pt>
                <c:pt idx="5">
                  <c:v>5.5361234642345671</c:v>
                </c:pt>
                <c:pt idx="6">
                  <c:v>5.6596839729119637</c:v>
                </c:pt>
                <c:pt idx="7">
                  <c:v>5.4111216730038025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C5-4668-A7A1-A23516EBE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8208"/>
        <c:axId val="-1379338752"/>
      </c:lineChart>
      <c:catAx>
        <c:axId val="-137934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9296"/>
        <c:crosses val="autoZero"/>
        <c:auto val="1"/>
        <c:lblAlgn val="ctr"/>
        <c:lblOffset val="100"/>
        <c:noMultiLvlLbl val="0"/>
      </c:catAx>
      <c:valAx>
        <c:axId val="-13793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40384"/>
        <c:crosses val="autoZero"/>
        <c:crossBetween val="between"/>
      </c:valAx>
      <c:catAx>
        <c:axId val="-1379338208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38752"/>
        <c:crosses val="autoZero"/>
        <c:auto val="1"/>
        <c:lblAlgn val="ctr"/>
        <c:lblOffset val="100"/>
        <c:noMultiLvlLbl val="0"/>
      </c:catAx>
      <c:valAx>
        <c:axId val="-1379338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820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Info!$R$1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Info!$R$2:$R$9</c:f>
              <c:numCache>
                <c:formatCode>General</c:formatCode>
                <c:ptCount val="8"/>
                <c:pt idx="0">
                  <c:v>0</c:v>
                </c:pt>
                <c:pt idx="1">
                  <c:v>20025</c:v>
                </c:pt>
                <c:pt idx="2">
                  <c:v>202700</c:v>
                </c:pt>
                <c:pt idx="3">
                  <c:v>202700</c:v>
                </c:pt>
                <c:pt idx="4">
                  <c:v>411800</c:v>
                </c:pt>
                <c:pt idx="5">
                  <c:v>513025</c:v>
                </c:pt>
                <c:pt idx="6">
                  <c:v>678050</c:v>
                </c:pt>
                <c:pt idx="7">
                  <c:v>807325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8-4DE3-B277-47B0CE91E627}"/>
            </c:ext>
          </c:extLst>
        </c:ser>
        <c:ser>
          <c:idx val="3"/>
          <c:order val="1"/>
          <c:tx>
            <c:strRef>
              <c:f>Info!$S$1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Info!$S$2:$S$9</c:f>
              <c:numCache>
                <c:formatCode>General</c:formatCode>
                <c:ptCount val="8"/>
                <c:pt idx="0">
                  <c:v>0</c:v>
                </c:pt>
                <c:pt idx="1">
                  <c:v>5404100</c:v>
                </c:pt>
                <c:pt idx="2">
                  <c:v>5687900</c:v>
                </c:pt>
                <c:pt idx="3">
                  <c:v>5687900</c:v>
                </c:pt>
                <c:pt idx="4">
                  <c:v>6725625</c:v>
                </c:pt>
                <c:pt idx="5">
                  <c:v>6852800</c:v>
                </c:pt>
                <c:pt idx="6">
                  <c:v>7423625</c:v>
                </c:pt>
                <c:pt idx="7">
                  <c:v>7840450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8-4DE3-B277-47B0CE91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37664"/>
        <c:axId val="-1379337120"/>
      </c:barChart>
      <c:lineChart>
        <c:grouping val="standard"/>
        <c:varyColors val="0"/>
        <c:ser>
          <c:idx val="4"/>
          <c:order val="2"/>
          <c:tx>
            <c:strRef>
              <c:f>Info!$P$1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Info!$P$2:$P$9</c:f>
              <c:numCache>
                <c:formatCode>General</c:formatCode>
                <c:ptCount val="8"/>
                <c:pt idx="0">
                  <c:v>0</c:v>
                </c:pt>
                <c:pt idx="1">
                  <c:v>1223650</c:v>
                </c:pt>
                <c:pt idx="2">
                  <c:v>1406325</c:v>
                </c:pt>
                <c:pt idx="3">
                  <c:v>1406325</c:v>
                </c:pt>
                <c:pt idx="4">
                  <c:v>1615425</c:v>
                </c:pt>
                <c:pt idx="5">
                  <c:v>1716650</c:v>
                </c:pt>
                <c:pt idx="6">
                  <c:v>1881675</c:v>
                </c:pt>
                <c:pt idx="7">
                  <c:v>2010950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78-4DE3-B277-47B0CE91E627}"/>
            </c:ext>
          </c:extLst>
        </c:ser>
        <c:ser>
          <c:idx val="5"/>
          <c:order val="3"/>
          <c:tx>
            <c:strRef>
              <c:f>Info!$Q$1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Info!$Q$2:$Q$9</c:f>
              <c:numCache>
                <c:formatCode>General</c:formatCode>
                <c:ptCount val="8"/>
                <c:pt idx="0">
                  <c:v>0</c:v>
                </c:pt>
                <c:pt idx="1">
                  <c:v>5752675</c:v>
                </c:pt>
                <c:pt idx="2">
                  <c:v>6036475</c:v>
                </c:pt>
                <c:pt idx="3">
                  <c:v>6036475</c:v>
                </c:pt>
                <c:pt idx="4">
                  <c:v>7074200</c:v>
                </c:pt>
                <c:pt idx="5">
                  <c:v>7201375</c:v>
                </c:pt>
                <c:pt idx="6">
                  <c:v>7772200</c:v>
                </c:pt>
                <c:pt idx="7">
                  <c:v>8189025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8-4DE3-B277-47B0CE91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7664"/>
        <c:axId val="-1379337120"/>
      </c:lineChart>
      <c:lineChart>
        <c:grouping val="standard"/>
        <c:varyColors val="0"/>
        <c:ser>
          <c:idx val="6"/>
          <c:order val="4"/>
          <c:tx>
            <c:strRef>
              <c:f>Info!$T$1</c:f>
              <c:strCache>
                <c:ptCount val="1"/>
                <c:pt idx="0">
                  <c:v>PCR</c:v>
                </c:pt>
              </c:strCache>
            </c:strRef>
          </c:tx>
          <c:spPr>
            <a:ln w="5080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Info!$T$2:$T$9</c:f>
              <c:numCache>
                <c:formatCode>General</c:formatCode>
                <c:ptCount val="8"/>
                <c:pt idx="0">
                  <c:v>0</c:v>
                </c:pt>
                <c:pt idx="1">
                  <c:v>4.7012421852653947</c:v>
                </c:pt>
                <c:pt idx="2">
                  <c:v>4.2923755177501643</c:v>
                </c:pt>
                <c:pt idx="3">
                  <c:v>4.2923755177501643</c:v>
                </c:pt>
                <c:pt idx="4">
                  <c:v>4.3791571877369728</c:v>
                </c:pt>
                <c:pt idx="5">
                  <c:v>4.1950164564704515</c:v>
                </c:pt>
                <c:pt idx="6">
                  <c:v>4.1304688641768639</c:v>
                </c:pt>
                <c:pt idx="7">
                  <c:v>4.0722171113155472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8-4DE3-B277-47B0CE91E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6032"/>
        <c:axId val="-1379336576"/>
      </c:lineChart>
      <c:catAx>
        <c:axId val="-1379337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7120"/>
        <c:crosses val="autoZero"/>
        <c:auto val="1"/>
        <c:lblAlgn val="ctr"/>
        <c:lblOffset val="100"/>
        <c:noMultiLvlLbl val="0"/>
      </c:catAx>
      <c:valAx>
        <c:axId val="-13793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7664"/>
        <c:crosses val="autoZero"/>
        <c:crossBetween val="between"/>
      </c:valAx>
      <c:catAx>
        <c:axId val="-1379336032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36576"/>
        <c:crosses val="autoZero"/>
        <c:auto val="1"/>
        <c:lblAlgn val="ctr"/>
        <c:lblOffset val="100"/>
        <c:noMultiLvlLbl val="0"/>
      </c:catAx>
      <c:valAx>
        <c:axId val="-1379336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6032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Y+200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Info!$D$19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Info!$D$20:$D$27</c:f>
              <c:numCache>
                <c:formatCode>General</c:formatCode>
                <c:ptCount val="8"/>
                <c:pt idx="0">
                  <c:v>0</c:v>
                </c:pt>
                <c:pt idx="1">
                  <c:v>2186450</c:v>
                </c:pt>
                <c:pt idx="2">
                  <c:v>2458150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0-4428-B0A8-ABDF80F04949}"/>
            </c:ext>
          </c:extLst>
        </c:ser>
        <c:ser>
          <c:idx val="3"/>
          <c:order val="1"/>
          <c:tx>
            <c:strRef>
              <c:f>Info!$E$19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Info!$E$20:$E$27</c:f>
              <c:numCache>
                <c:formatCode>General</c:formatCode>
                <c:ptCount val="8"/>
                <c:pt idx="0">
                  <c:v>0</c:v>
                </c:pt>
                <c:pt idx="1">
                  <c:v>130175</c:v>
                </c:pt>
                <c:pt idx="2">
                  <c:v>141825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0-4428-B0A8-ABDF80F0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9335488"/>
        <c:axId val="-1379334944"/>
      </c:barChart>
      <c:lineChart>
        <c:grouping val="standard"/>
        <c:varyColors val="0"/>
        <c:ser>
          <c:idx val="4"/>
          <c:order val="2"/>
          <c:tx>
            <c:strRef>
              <c:f>Info!$B$19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Info!$B$20:$B$27</c:f>
              <c:numCache>
                <c:formatCode>General</c:formatCode>
                <c:ptCount val="8"/>
                <c:pt idx="0">
                  <c:v>0</c:v>
                </c:pt>
                <c:pt idx="1">
                  <c:v>4863475</c:v>
                </c:pt>
                <c:pt idx="2">
                  <c:v>5135175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0-4428-B0A8-ABDF80F04949}"/>
            </c:ext>
          </c:extLst>
        </c:ser>
        <c:ser>
          <c:idx val="5"/>
          <c:order val="3"/>
          <c:tx>
            <c:strRef>
              <c:f>Info!$C$19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Info!$C$20:$C$27</c:f>
              <c:numCache>
                <c:formatCode>General</c:formatCode>
                <c:ptCount val="8"/>
                <c:pt idx="0">
                  <c:v>0</c:v>
                </c:pt>
                <c:pt idx="1">
                  <c:v>165375</c:v>
                </c:pt>
                <c:pt idx="2">
                  <c:v>177025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20-4428-B0A8-ABDF80F0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9335488"/>
        <c:axId val="-1379334944"/>
      </c:lineChart>
      <c:lineChart>
        <c:grouping val="standard"/>
        <c:varyColors val="0"/>
        <c:ser>
          <c:idx val="6"/>
          <c:order val="4"/>
          <c:tx>
            <c:strRef>
              <c:f>Info!$F$19</c:f>
              <c:strCache>
                <c:ptCount val="1"/>
                <c:pt idx="0">
                  <c:v>PCR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Info!$F$20:$F$27</c:f>
              <c:numCache>
                <c:formatCode>General</c:formatCode>
                <c:ptCount val="8"/>
                <c:pt idx="0">
                  <c:v>0</c:v>
                </c:pt>
                <c:pt idx="1">
                  <c:v>3.4003464600928346E-2</c:v>
                </c:pt>
                <c:pt idx="2">
                  <c:v>3.4473021854172448E-2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20-4428-B0A8-ABDF80F04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33949440"/>
        <c:axId val="-1379334400"/>
      </c:lineChart>
      <c:catAx>
        <c:axId val="-1379335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4944"/>
        <c:crosses val="autoZero"/>
        <c:auto val="1"/>
        <c:lblAlgn val="ctr"/>
        <c:lblOffset val="100"/>
        <c:noMultiLvlLbl val="0"/>
      </c:catAx>
      <c:valAx>
        <c:axId val="-13793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79335488"/>
        <c:crosses val="autoZero"/>
        <c:crossBetween val="between"/>
      </c:valAx>
      <c:catAx>
        <c:axId val="-1433949440"/>
        <c:scaling>
          <c:orientation val="minMax"/>
        </c:scaling>
        <c:delete val="1"/>
        <c:axPos val="b"/>
        <c:majorTickMark val="out"/>
        <c:minorTickMark val="none"/>
        <c:tickLblPos val="nextTo"/>
        <c:crossAx val="-1379334400"/>
        <c:crosses val="autoZero"/>
        <c:auto val="1"/>
        <c:lblAlgn val="ctr"/>
        <c:lblOffset val="100"/>
        <c:noMultiLvlLbl val="0"/>
      </c:catAx>
      <c:valAx>
        <c:axId val="-1379334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49440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Y+150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Info!$K$19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Info!$K$20:$K$27</c:f>
              <c:numCache>
                <c:formatCode>General</c:formatCode>
                <c:ptCount val="8"/>
                <c:pt idx="0">
                  <c:v>0</c:v>
                </c:pt>
                <c:pt idx="1">
                  <c:v>2059375</c:v>
                </c:pt>
                <c:pt idx="2">
                  <c:v>2176225</c:v>
                </c:pt>
                <c:pt idx="3">
                  <c:v>2176225</c:v>
                </c:pt>
                <c:pt idx="4">
                  <c:v>2060575</c:v>
                </c:pt>
                <c:pt idx="5">
                  <c:v>2180275</c:v>
                </c:pt>
                <c:pt idx="6">
                  <c:v>2369900</c:v>
                </c:pt>
                <c:pt idx="7">
                  <c:v>2344975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9-4131-8C53-1146456D784B}"/>
            </c:ext>
          </c:extLst>
        </c:ser>
        <c:ser>
          <c:idx val="3"/>
          <c:order val="1"/>
          <c:tx>
            <c:strRef>
              <c:f>Info!$L$19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Info!$L$20:$L$27</c:f>
              <c:numCache>
                <c:formatCode>General</c:formatCode>
                <c:ptCount val="8"/>
                <c:pt idx="0">
                  <c:v>0</c:v>
                </c:pt>
                <c:pt idx="1">
                  <c:v>127575</c:v>
                </c:pt>
                <c:pt idx="2">
                  <c:v>136675</c:v>
                </c:pt>
                <c:pt idx="3">
                  <c:v>136675</c:v>
                </c:pt>
                <c:pt idx="4">
                  <c:v>124350</c:v>
                </c:pt>
                <c:pt idx="5">
                  <c:v>116850</c:v>
                </c:pt>
                <c:pt idx="6">
                  <c:v>110575</c:v>
                </c:pt>
                <c:pt idx="7">
                  <c:v>114775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9-4131-8C53-1146456D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33951072"/>
        <c:axId val="-1433960320"/>
      </c:barChart>
      <c:lineChart>
        <c:grouping val="standard"/>
        <c:varyColors val="0"/>
        <c:ser>
          <c:idx val="4"/>
          <c:order val="2"/>
          <c:tx>
            <c:strRef>
              <c:f>Info!$I$19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Info!$I$20:$I$27</c:f>
              <c:numCache>
                <c:formatCode>General</c:formatCode>
                <c:ptCount val="8"/>
                <c:pt idx="0">
                  <c:v>0</c:v>
                </c:pt>
                <c:pt idx="1">
                  <c:v>2944075</c:v>
                </c:pt>
                <c:pt idx="2">
                  <c:v>3060925</c:v>
                </c:pt>
                <c:pt idx="3">
                  <c:v>3060925</c:v>
                </c:pt>
                <c:pt idx="4">
                  <c:v>2945275</c:v>
                </c:pt>
                <c:pt idx="5">
                  <c:v>3064975</c:v>
                </c:pt>
                <c:pt idx="6">
                  <c:v>3254600</c:v>
                </c:pt>
                <c:pt idx="7">
                  <c:v>3229675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49-4131-8C53-1146456D784B}"/>
            </c:ext>
          </c:extLst>
        </c:ser>
        <c:ser>
          <c:idx val="5"/>
          <c:order val="3"/>
          <c:tx>
            <c:strRef>
              <c:f>Info!$J$19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Info!$J$20:$J$27</c:f>
              <c:numCache>
                <c:formatCode>General</c:formatCode>
                <c:ptCount val="8"/>
                <c:pt idx="0">
                  <c:v>0</c:v>
                </c:pt>
                <c:pt idx="1">
                  <c:v>142975</c:v>
                </c:pt>
                <c:pt idx="2">
                  <c:v>152075</c:v>
                </c:pt>
                <c:pt idx="3">
                  <c:v>152075</c:v>
                </c:pt>
                <c:pt idx="4">
                  <c:v>139750</c:v>
                </c:pt>
                <c:pt idx="5">
                  <c:v>132250</c:v>
                </c:pt>
                <c:pt idx="6">
                  <c:v>125975</c:v>
                </c:pt>
                <c:pt idx="7">
                  <c:v>130175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49-4131-8C53-1146456D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33951072"/>
        <c:axId val="-1433960320"/>
      </c:lineChart>
      <c:lineChart>
        <c:grouping val="standard"/>
        <c:varyColors val="0"/>
        <c:ser>
          <c:idx val="6"/>
          <c:order val="4"/>
          <c:tx>
            <c:strRef>
              <c:f>Info!$M$19</c:f>
              <c:strCache>
                <c:ptCount val="1"/>
                <c:pt idx="0">
                  <c:v>PCR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Info!$M$20:$M$27</c:f>
              <c:numCache>
                <c:formatCode>General</c:formatCode>
                <c:ptCount val="8"/>
                <c:pt idx="0">
                  <c:v>0</c:v>
                </c:pt>
                <c:pt idx="1">
                  <c:v>4.856364053225546E-2</c:v>
                </c:pt>
                <c:pt idx="2">
                  <c:v>4.9682693956892114E-2</c:v>
                </c:pt>
                <c:pt idx="3">
                  <c:v>4.9682693956892114E-2</c:v>
                </c:pt>
                <c:pt idx="4">
                  <c:v>4.7448879985739871E-2</c:v>
                </c:pt>
                <c:pt idx="5">
                  <c:v>4.3148802192513803E-2</c:v>
                </c:pt>
                <c:pt idx="6">
                  <c:v>3.8706753518097464E-2</c:v>
                </c:pt>
                <c:pt idx="7">
                  <c:v>4.0305913133674438E-2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49-4131-8C53-1146456D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33951616"/>
        <c:axId val="-1433952160"/>
      </c:lineChart>
      <c:catAx>
        <c:axId val="-143395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60320"/>
        <c:crosses val="autoZero"/>
        <c:auto val="1"/>
        <c:lblAlgn val="ctr"/>
        <c:lblOffset val="100"/>
        <c:noMultiLvlLbl val="0"/>
      </c:catAx>
      <c:valAx>
        <c:axId val="-14339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51072"/>
        <c:crosses val="autoZero"/>
        <c:crossBetween val="between"/>
      </c:valAx>
      <c:catAx>
        <c:axId val="-1433951616"/>
        <c:scaling>
          <c:orientation val="minMax"/>
        </c:scaling>
        <c:delete val="1"/>
        <c:axPos val="b"/>
        <c:majorTickMark val="out"/>
        <c:minorTickMark val="none"/>
        <c:tickLblPos val="nextTo"/>
        <c:crossAx val="-1433952160"/>
        <c:crosses val="autoZero"/>
        <c:auto val="1"/>
        <c:lblAlgn val="ctr"/>
        <c:lblOffset val="100"/>
        <c:noMultiLvlLbl val="0"/>
      </c:catAx>
      <c:valAx>
        <c:axId val="-1433952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51616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Y+100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Info!$R$19</c:f>
              <c:strCache>
                <c:ptCount val="1"/>
                <c:pt idx="0">
                  <c:v>Change Call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Info!$R$20:$R$27</c:f>
              <c:numCache>
                <c:formatCode>General</c:formatCode>
                <c:ptCount val="8"/>
                <c:pt idx="0">
                  <c:v>0</c:v>
                </c:pt>
                <c:pt idx="1">
                  <c:v>3031725</c:v>
                </c:pt>
                <c:pt idx="2">
                  <c:v>3428900</c:v>
                </c:pt>
                <c:pt idx="3">
                  <c:v>3428900</c:v>
                </c:pt>
                <c:pt idx="4">
                  <c:v>3730575</c:v>
                </c:pt>
                <c:pt idx="5">
                  <c:v>3787125</c:v>
                </c:pt>
                <c:pt idx="6">
                  <c:v>3700375</c:v>
                </c:pt>
                <c:pt idx="7">
                  <c:v>3705375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1-4EFF-A7ED-5FF7B5A6DA04}"/>
            </c:ext>
          </c:extLst>
        </c:ser>
        <c:ser>
          <c:idx val="3"/>
          <c:order val="1"/>
          <c:tx>
            <c:strRef>
              <c:f>Info!$S$19</c:f>
              <c:strCache>
                <c:ptCount val="1"/>
                <c:pt idx="0">
                  <c:v>Change Put</c:v>
                </c:pt>
              </c:strCache>
            </c:strRef>
          </c:tx>
          <c:spPr>
            <a:solidFill>
              <a:srgbClr val="FF0000"/>
            </a:solidFill>
            <a:ln>
              <a:noFill/>
              <a:prstDash val="solid"/>
            </a:ln>
          </c:spPr>
          <c:invertIfNegative val="0"/>
          <c:val>
            <c:numRef>
              <c:f>Info!$S$20:$S$27</c:f>
              <c:numCache>
                <c:formatCode>General</c:formatCode>
                <c:ptCount val="8"/>
                <c:pt idx="0">
                  <c:v>0</c:v>
                </c:pt>
                <c:pt idx="1">
                  <c:v>541700</c:v>
                </c:pt>
                <c:pt idx="2">
                  <c:v>640975</c:v>
                </c:pt>
                <c:pt idx="3">
                  <c:v>640975</c:v>
                </c:pt>
                <c:pt idx="4">
                  <c:v>589250</c:v>
                </c:pt>
                <c:pt idx="5">
                  <c:v>545025</c:v>
                </c:pt>
                <c:pt idx="6">
                  <c:v>520075</c:v>
                </c:pt>
                <c:pt idx="7">
                  <c:v>511450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91-4EFF-A7ED-5FF7B5A6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33959232"/>
        <c:axId val="-1433948352"/>
      </c:barChart>
      <c:lineChart>
        <c:grouping val="standard"/>
        <c:varyColors val="0"/>
        <c:ser>
          <c:idx val="4"/>
          <c:order val="2"/>
          <c:tx>
            <c:strRef>
              <c:f>Info!$P$19</c:f>
              <c:strCache>
                <c:ptCount val="1"/>
                <c:pt idx="0">
                  <c:v>Call OI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Info!$P$20:$P$27</c:f>
              <c:numCache>
                <c:formatCode>General</c:formatCode>
                <c:ptCount val="8"/>
                <c:pt idx="0">
                  <c:v>0</c:v>
                </c:pt>
                <c:pt idx="1">
                  <c:v>4654475</c:v>
                </c:pt>
                <c:pt idx="2">
                  <c:v>5051650</c:v>
                </c:pt>
                <c:pt idx="3">
                  <c:v>5051650</c:v>
                </c:pt>
                <c:pt idx="4">
                  <c:v>5353325</c:v>
                </c:pt>
                <c:pt idx="5">
                  <c:v>5409875</c:v>
                </c:pt>
                <c:pt idx="6">
                  <c:v>5323125</c:v>
                </c:pt>
                <c:pt idx="7">
                  <c:v>5328125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1-4EFF-A7ED-5FF7B5A6DA04}"/>
            </c:ext>
          </c:extLst>
        </c:ser>
        <c:ser>
          <c:idx val="5"/>
          <c:order val="3"/>
          <c:tx>
            <c:strRef>
              <c:f>Info!$Q$19</c:f>
              <c:strCache>
                <c:ptCount val="1"/>
                <c:pt idx="0">
                  <c:v>Put 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Info!$Q$20:$Q$27</c:f>
              <c:numCache>
                <c:formatCode>General</c:formatCode>
                <c:ptCount val="8"/>
                <c:pt idx="0">
                  <c:v>0</c:v>
                </c:pt>
                <c:pt idx="1">
                  <c:v>638375</c:v>
                </c:pt>
                <c:pt idx="2">
                  <c:v>737650</c:v>
                </c:pt>
                <c:pt idx="3">
                  <c:v>737650</c:v>
                </c:pt>
                <c:pt idx="4">
                  <c:v>685925</c:v>
                </c:pt>
                <c:pt idx="5">
                  <c:v>641700</c:v>
                </c:pt>
                <c:pt idx="6">
                  <c:v>616750</c:v>
                </c:pt>
                <c:pt idx="7">
                  <c:v>608125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1-4EFF-A7ED-5FF7B5A6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33959232"/>
        <c:axId val="-1433948352"/>
      </c:lineChart>
      <c:lineChart>
        <c:grouping val="standard"/>
        <c:varyColors val="0"/>
        <c:ser>
          <c:idx val="6"/>
          <c:order val="4"/>
          <c:tx>
            <c:strRef>
              <c:f>Info!$T$19</c:f>
              <c:strCache>
                <c:ptCount val="1"/>
                <c:pt idx="0">
                  <c:v>PCR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val>
            <c:numRef>
              <c:f>Info!$T$20:$T$27</c:f>
              <c:numCache>
                <c:formatCode>General</c:formatCode>
                <c:ptCount val="8"/>
                <c:pt idx="0">
                  <c:v>0</c:v>
                </c:pt>
                <c:pt idx="1">
                  <c:v>0.13715295495195484</c:v>
                </c:pt>
                <c:pt idx="2">
                  <c:v>0.14602159690398187</c:v>
                </c:pt>
                <c:pt idx="3">
                  <c:v>0.14602159690398187</c:v>
                </c:pt>
                <c:pt idx="4">
                  <c:v>0.12813064777498098</c:v>
                </c:pt>
                <c:pt idx="5">
                  <c:v>0.11861641904849927</c:v>
                </c:pt>
                <c:pt idx="6">
                  <c:v>0.11586239286133615</c:v>
                </c:pt>
                <c:pt idx="7">
                  <c:v>0.11413489736070381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1-4EFF-A7ED-5FF7B5A6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33950528"/>
        <c:axId val="-1433961408"/>
      </c:lineChart>
      <c:catAx>
        <c:axId val="-1433959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48352"/>
        <c:crosses val="autoZero"/>
        <c:auto val="1"/>
        <c:lblAlgn val="ctr"/>
        <c:lblOffset val="100"/>
        <c:noMultiLvlLbl val="0"/>
      </c:catAx>
      <c:valAx>
        <c:axId val="-14339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59232"/>
        <c:crosses val="autoZero"/>
        <c:crossBetween val="between"/>
      </c:valAx>
      <c:catAx>
        <c:axId val="-1433950528"/>
        <c:scaling>
          <c:orientation val="minMax"/>
        </c:scaling>
        <c:delete val="1"/>
        <c:axPos val="b"/>
        <c:majorTickMark val="out"/>
        <c:minorTickMark val="none"/>
        <c:tickLblPos val="nextTo"/>
        <c:crossAx val="-1433961408"/>
        <c:crosses val="autoZero"/>
        <c:auto val="1"/>
        <c:lblAlgn val="ctr"/>
        <c:lblOffset val="100"/>
        <c:noMultiLvlLbl val="0"/>
      </c:catAx>
      <c:valAx>
        <c:axId val="-14339614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33950528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20979</xdr:colOff>
      <xdr:row>0</xdr:row>
      <xdr:rowOff>0</xdr:rowOff>
    </xdr:from>
    <xdr:to>
      <xdr:col>29</xdr:col>
      <xdr:colOff>238124</xdr:colOff>
      <xdr:row>13</xdr:row>
      <xdr:rowOff>122464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598714</xdr:colOff>
      <xdr:row>0</xdr:row>
      <xdr:rowOff>81644</xdr:rowOff>
    </xdr:from>
    <xdr:to>
      <xdr:col>14</xdr:col>
      <xdr:colOff>500062</xdr:colOff>
      <xdr:row>13</xdr:row>
      <xdr:rowOff>176894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598714</xdr:colOff>
      <xdr:row>19</xdr:row>
      <xdr:rowOff>76200</xdr:rowOff>
    </xdr:from>
    <xdr:to>
      <xdr:col>14</xdr:col>
      <xdr:colOff>557895</xdr:colOff>
      <xdr:row>33</xdr:row>
      <xdr:rowOff>51028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21886</xdr:colOff>
      <xdr:row>19</xdr:row>
      <xdr:rowOff>72571</xdr:rowOff>
    </xdr:from>
    <xdr:to>
      <xdr:col>29</xdr:col>
      <xdr:colOff>250486</xdr:colOff>
      <xdr:row>33</xdr:row>
      <xdr:rowOff>47397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43543</xdr:colOff>
      <xdr:row>33</xdr:row>
      <xdr:rowOff>54429</xdr:rowOff>
    </xdr:from>
    <xdr:to>
      <xdr:col>29</xdr:col>
      <xdr:colOff>198664</xdr:colOff>
      <xdr:row>47</xdr:row>
      <xdr:rowOff>130629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348343</xdr:colOff>
      <xdr:row>33</xdr:row>
      <xdr:rowOff>89128</xdr:rowOff>
    </xdr:from>
    <xdr:to>
      <xdr:col>14</xdr:col>
      <xdr:colOff>579664</xdr:colOff>
      <xdr:row>47</xdr:row>
      <xdr:rowOff>165328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11906</xdr:colOff>
      <xdr:row>0</xdr:row>
      <xdr:rowOff>0</xdr:rowOff>
    </xdr:from>
    <xdr:to>
      <xdr:col>25</xdr:col>
      <xdr:colOff>316706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340518</xdr:colOff>
      <xdr:row>0</xdr:row>
      <xdr:rowOff>11907</xdr:rowOff>
    </xdr:from>
    <xdr:to>
      <xdr:col>18</xdr:col>
      <xdr:colOff>38099</xdr:colOff>
      <xdr:row>14</xdr:row>
      <xdr:rowOff>88107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23813</xdr:colOff>
      <xdr:row>0</xdr:row>
      <xdr:rowOff>0</xdr:rowOff>
    </xdr:from>
    <xdr:to>
      <xdr:col>10</xdr:col>
      <xdr:colOff>328612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23812</xdr:colOff>
      <xdr:row>14</xdr:row>
      <xdr:rowOff>47625</xdr:rowOff>
    </xdr:from>
    <xdr:to>
      <xdr:col>25</xdr:col>
      <xdr:colOff>345281</xdr:colOff>
      <xdr:row>28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339327</xdr:colOff>
      <xdr:row>14</xdr:row>
      <xdr:rowOff>71437</xdr:rowOff>
    </xdr:from>
    <xdr:to>
      <xdr:col>18</xdr:col>
      <xdr:colOff>53577</xdr:colOff>
      <xdr:row>28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29765</xdr:colOff>
      <xdr:row>14</xdr:row>
      <xdr:rowOff>59532</xdr:rowOff>
    </xdr:from>
    <xdr:to>
      <xdr:col>10</xdr:col>
      <xdr:colOff>351233</xdr:colOff>
      <xdr:row>28</xdr:row>
      <xdr:rowOff>135732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BD83D76F-4871-4E03-A160-683ABC57116A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  <extLst>
    <ext xmlns:x15="http://schemas.microsoft.com/office/spreadsheetml/2010/11/main" uri="{883FBD77-0823-4a55-B5E3-86C4891E6966}">
      <x15:queryTable sourceDataName="Query - abcd (2)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B3" totalsRowShown="0">
  <autoFilter ref="B2:B3" xr:uid="{00000000-0009-0000-0100-000001000000}"/>
  <tableColumns count="1">
    <tableColumn id="1" xr3:uid="{00000000-0010-0000-0000-000001000000}" name="Cook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8A964E-9CD0-4778-BCEC-EACE5F650C6E}" name="abcd__2" displayName="abcd__2" ref="A1:W4" tableType="queryTable" totalsRowShown="0">
  <autoFilter ref="A1:W4" xr:uid="{378A964E-9CD0-4778-BCEC-EACE5F650C6E}"/>
  <tableColumns count="23">
    <tableColumn id="1" xr3:uid="{9748A963-4645-4589-880A-1A74088C735C}" uniqueName="1" name="Column1" queryTableFieldId="1" dataDxfId="13"/>
    <tableColumn id="2" xr3:uid="{B71AA53D-8773-4E15-9E79-4E1498BC987C}" uniqueName="2" name="Column2" queryTableFieldId="2"/>
    <tableColumn id="3" xr3:uid="{CA68B21E-56B7-4A36-B7E2-243DCB36D73B}" uniqueName="3" name="Column3" queryTableFieldId="3"/>
    <tableColumn id="4" xr3:uid="{81F7EEDC-F021-47A6-99D7-82609002EF8B}" uniqueName="4" name="Column4" queryTableFieldId="4"/>
    <tableColumn id="5" xr3:uid="{FD2755CF-7A92-41FE-9347-F714ECAE0061}" uniqueName="5" name="Column5" queryTableFieldId="5"/>
    <tableColumn id="6" xr3:uid="{0D55BA53-A8FE-4A97-96A4-4E984583AE97}" uniqueName="6" name="Column6" queryTableFieldId="6" dataDxfId="12"/>
    <tableColumn id="7" xr3:uid="{3DCFFDDF-9AF8-4D09-9B0E-6B78CD2153AC}" uniqueName="7" name="Column7" queryTableFieldId="7" dataDxfId="11"/>
    <tableColumn id="8" xr3:uid="{8073C916-2598-4E4E-86D7-5F0DB94804DD}" uniqueName="8" name="Column8" queryTableFieldId="8" dataDxfId="10"/>
    <tableColumn id="9" xr3:uid="{AF1A169B-7C2E-4DEA-A356-89574B6E2760}" uniqueName="9" name="Column9" queryTableFieldId="9" dataDxfId="9"/>
    <tableColumn id="10" xr3:uid="{7FA572AE-F444-4B83-8D2B-8F3282434FD6}" uniqueName="10" name="Column10" queryTableFieldId="10" dataDxfId="8"/>
    <tableColumn id="11" xr3:uid="{31BCE5C3-1041-4F53-AB2C-FB4D3DC7FE43}" uniqueName="11" name="Column11" queryTableFieldId="11" dataDxfId="7"/>
    <tableColumn id="12" xr3:uid="{01B93351-8553-4C85-ADC0-C4D582D6FF48}" uniqueName="12" name="Column12" queryTableFieldId="12"/>
    <tableColumn id="13" xr3:uid="{6455756F-D32A-4963-AECE-935D642E9570}" uniqueName="13" name="Column13" queryTableFieldId="13" dataDxfId="6"/>
    <tableColumn id="14" xr3:uid="{647E2F3B-8BC2-484E-B8C7-2491E82AEB7D}" uniqueName="14" name="Column14" queryTableFieldId="14" dataDxfId="5"/>
    <tableColumn id="15" xr3:uid="{76F5DB08-C294-4ECF-AED0-816FEB7910A1}" uniqueName="15" name="Column15" queryTableFieldId="15" dataDxfId="4"/>
    <tableColumn id="16" xr3:uid="{F7C2A25E-6743-4CA9-B5CF-F14981FA9D97}" uniqueName="16" name="Column16" queryTableFieldId="16" dataDxfId="3"/>
    <tableColumn id="17" xr3:uid="{07BD5A90-F377-442C-8C5B-8EEA689DDF54}" uniqueName="17" name="Column17" queryTableFieldId="17" dataDxfId="2"/>
    <tableColumn id="18" xr3:uid="{D2D5FDFC-D194-488D-A924-9F5B5E83549A}" uniqueName="18" name="Column18" queryTableFieldId="18" dataDxfId="1"/>
    <tableColumn id="19" xr3:uid="{E3846D49-133D-42D7-AA60-C63C71E76008}" uniqueName="19" name="Column19" queryTableFieldId="19"/>
    <tableColumn id="20" xr3:uid="{26E48430-A9E8-4D28-BEB8-3B2A3F7552B3}" uniqueName="20" name="Column20" queryTableFieldId="20"/>
    <tableColumn id="21" xr3:uid="{0DD9511D-9B46-4739-87E2-C7411755896B}" uniqueName="21" name="Column21" queryTableFieldId="21"/>
    <tableColumn id="22" xr3:uid="{7D30FCB3-0B62-48D7-9CF9-419E55C38722}" uniqueName="22" name="Column22" queryTableFieldId="22"/>
    <tableColumn id="23" xr3:uid="{AB1F8610-F9F4-4962-BDB3-616DAD371C88}" uniqueName="23" name="Column23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4"/>
  <sheetViews>
    <sheetView workbookViewId="0">
      <selection activeCell="D20" sqref="D20"/>
    </sheetView>
  </sheetViews>
  <sheetFormatPr defaultRowHeight="14.4" x14ac:dyDescent="0.3"/>
  <cols>
    <col min="3" max="3" width="17.33203125" style="28" bestFit="1" customWidth="1"/>
    <col min="4" max="4" width="9.88671875" style="28" bestFit="1" customWidth="1"/>
    <col min="5" max="5" width="9.6640625" style="28" bestFit="1" customWidth="1"/>
    <col min="6" max="6" width="10.6640625" style="28" bestFit="1" customWidth="1"/>
  </cols>
  <sheetData>
    <row r="1" spans="1:6" x14ac:dyDescent="0.3">
      <c r="A1" t="s">
        <v>0</v>
      </c>
      <c r="D1" t="s">
        <v>1</v>
      </c>
      <c r="E1" t="s">
        <v>2</v>
      </c>
      <c r="F1" t="s">
        <v>3</v>
      </c>
    </row>
    <row r="2" spans="1:6" x14ac:dyDescent="0.3">
      <c r="A2" s="12">
        <f>A8-MOD(A8,50)</f>
        <v>24550</v>
      </c>
      <c r="D2" s="12">
        <f>D3-50</f>
        <v>24350</v>
      </c>
      <c r="E2">
        <v>1</v>
      </c>
      <c r="F2">
        <v>0</v>
      </c>
    </row>
    <row r="3" spans="1:6" x14ac:dyDescent="0.3">
      <c r="A3" t="s">
        <v>4</v>
      </c>
      <c r="D3" s="12">
        <f>D4-50</f>
        <v>24400</v>
      </c>
      <c r="E3">
        <v>2</v>
      </c>
      <c r="F3">
        <v>0</v>
      </c>
    </row>
    <row r="4" spans="1:6" x14ac:dyDescent="0.3">
      <c r="A4" s="4" t="e">
        <f>SUM('Data Dump'!V:V)/SUM('Data Dump'!B:B)</f>
        <v>#N/A</v>
      </c>
      <c r="B4">
        <v>1</v>
      </c>
      <c r="D4" s="12">
        <f>D5-50</f>
        <v>24450</v>
      </c>
      <c r="E4">
        <v>4</v>
      </c>
      <c r="F4">
        <v>0</v>
      </c>
    </row>
    <row r="5" spans="1:6" x14ac:dyDescent="0.3">
      <c r="C5" s="3"/>
      <c r="D5" s="12">
        <f>D6-50</f>
        <v>24500</v>
      </c>
      <c r="E5">
        <v>11</v>
      </c>
      <c r="F5">
        <v>15</v>
      </c>
    </row>
    <row r="6" spans="1:6" x14ac:dyDescent="0.3">
      <c r="A6" s="5">
        <v>7</v>
      </c>
      <c r="D6" s="12">
        <f>A2</f>
        <v>24550</v>
      </c>
      <c r="E6">
        <v>32</v>
      </c>
      <c r="F6">
        <v>35</v>
      </c>
    </row>
    <row r="7" spans="1:6" x14ac:dyDescent="0.3">
      <c r="A7" t="s">
        <v>5</v>
      </c>
      <c r="D7" s="12">
        <f>D6+50</f>
        <v>24600</v>
      </c>
      <c r="E7">
        <v>32</v>
      </c>
      <c r="F7">
        <v>35</v>
      </c>
    </row>
    <row r="8" spans="1:6" x14ac:dyDescent="0.3">
      <c r="A8" s="4">
        <v>24568</v>
      </c>
      <c r="C8" s="12"/>
      <c r="D8" s="12">
        <f>D7+50</f>
        <v>24650</v>
      </c>
      <c r="E8">
        <v>11</v>
      </c>
      <c r="F8">
        <v>15</v>
      </c>
    </row>
    <row r="9" spans="1:6" x14ac:dyDescent="0.3">
      <c r="A9" t="s">
        <v>6</v>
      </c>
      <c r="B9" t="s">
        <v>7</v>
      </c>
      <c r="D9" s="12">
        <f>D8+50</f>
        <v>24700</v>
      </c>
      <c r="E9">
        <v>4</v>
      </c>
      <c r="F9">
        <v>0</v>
      </c>
    </row>
    <row r="10" spans="1:6" x14ac:dyDescent="0.3">
      <c r="A10" s="6">
        <v>0.23</v>
      </c>
      <c r="B10" s="10">
        <v>0.14499999999999999</v>
      </c>
      <c r="D10" s="12">
        <f>D9+50</f>
        <v>24750</v>
      </c>
      <c r="E10">
        <v>2</v>
      </c>
      <c r="F10">
        <v>0</v>
      </c>
    </row>
    <row r="11" spans="1:6" x14ac:dyDescent="0.3">
      <c r="A11" t="s">
        <v>8</v>
      </c>
      <c r="D11" s="12">
        <f>D10+50</f>
        <v>24800</v>
      </c>
      <c r="E11">
        <v>1</v>
      </c>
      <c r="F11">
        <v>0</v>
      </c>
    </row>
    <row r="12" spans="1:6" x14ac:dyDescent="0.3">
      <c r="A12" s="12">
        <f>B10/SQRT(52)</f>
        <v>2.0107882113164555E-2</v>
      </c>
    </row>
    <row r="13" spans="1:6" x14ac:dyDescent="0.3">
      <c r="A13" t="s">
        <v>9</v>
      </c>
    </row>
    <row r="14" spans="1:6" x14ac:dyDescent="0.3">
      <c r="A14" s="12">
        <f>B10/SQRT(255)</f>
        <v>9.0802522207346671E-3</v>
      </c>
      <c r="B14" s="7"/>
      <c r="D14" s="42"/>
      <c r="E14" s="42"/>
    </row>
    <row r="15" spans="1:6" x14ac:dyDescent="0.3">
      <c r="A15" t="s">
        <v>10</v>
      </c>
    </row>
    <row r="16" spans="1:6" x14ac:dyDescent="0.3">
      <c r="A16" s="7">
        <v>7.0000000000000007E-2</v>
      </c>
    </row>
    <row r="17" spans="1:3" x14ac:dyDescent="0.3">
      <c r="A17" t="s">
        <v>11</v>
      </c>
      <c r="C17" s="9"/>
    </row>
    <row r="18" spans="1:3" x14ac:dyDescent="0.3">
      <c r="A18">
        <f ca="1">(5-WEEKDAY(TODAY())+1)/365</f>
        <v>8.21917808219178E-3</v>
      </c>
    </row>
    <row r="19" spans="1:3" x14ac:dyDescent="0.3">
      <c r="A19" t="s">
        <v>12</v>
      </c>
    </row>
    <row r="20" spans="1:3" x14ac:dyDescent="0.3">
      <c r="A20" s="7">
        <v>0.2369</v>
      </c>
    </row>
    <row r="21" spans="1:3" x14ac:dyDescent="0.3">
      <c r="A21" t="s">
        <v>13</v>
      </c>
    </row>
    <row r="22" spans="1:3" x14ac:dyDescent="0.3">
      <c r="A22">
        <v>1.2500000000000001E-2</v>
      </c>
    </row>
    <row r="23" spans="1:3" x14ac:dyDescent="0.3">
      <c r="A23" t="s">
        <v>14</v>
      </c>
    </row>
    <row r="24" spans="1:3" x14ac:dyDescent="0.3">
      <c r="A24" s="5" t="e">
        <f>(AVERAGE('Data Dump'!E:E)+AVERAGE('Data Dump'!S:S))/2</f>
        <v>#N/A</v>
      </c>
      <c r="B24">
        <v>6.06</v>
      </c>
    </row>
  </sheetData>
  <autoFilter ref="A1:F24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B3"/>
  <sheetViews>
    <sheetView workbookViewId="0">
      <selection activeCell="B2" sqref="B2:B3"/>
    </sheetView>
  </sheetViews>
  <sheetFormatPr defaultRowHeight="14.4" x14ac:dyDescent="0.3"/>
  <cols>
    <col min="2" max="2" width="10.109375" style="28" customWidth="1"/>
  </cols>
  <sheetData>
    <row r="2" spans="2:2" x14ac:dyDescent="0.3">
      <c r="B2" t="s">
        <v>15</v>
      </c>
    </row>
    <row r="3" spans="2:2" x14ac:dyDescent="0.3">
      <c r="B3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W107"/>
  <sheetViews>
    <sheetView zoomScale="90" zoomScaleNormal="90" workbookViewId="0">
      <selection activeCell="F15" sqref="F15"/>
    </sheetView>
  </sheetViews>
  <sheetFormatPr defaultRowHeight="14.4" x14ac:dyDescent="0.3"/>
  <cols>
    <col min="2" max="2" width="6.6640625" style="28" bestFit="1" customWidth="1"/>
    <col min="3" max="3" width="11" style="28" bestFit="1" customWidth="1"/>
    <col min="4" max="4" width="8.77734375" style="28" bestFit="1" customWidth="1"/>
    <col min="5" max="5" width="6.6640625" style="28" bestFit="1" customWidth="1"/>
    <col min="6" max="6" width="4.109375" style="28" bestFit="1" customWidth="1"/>
    <col min="7" max="7" width="6.33203125" style="28" bestFit="1" customWidth="1"/>
    <col min="8" max="8" width="7.77734375" style="28" bestFit="1" customWidth="1"/>
    <col min="9" max="9" width="3.88671875" style="28" bestFit="1" customWidth="1"/>
    <col min="10" max="10" width="4.44140625" style="28" bestFit="1" customWidth="1"/>
    <col min="11" max="11" width="8.21875" style="28" bestFit="1" customWidth="1"/>
    <col min="12" max="12" width="9.88671875" style="28" bestFit="1" customWidth="1"/>
    <col min="13" max="13" width="7.77734375" style="28" bestFit="1" customWidth="1"/>
    <col min="14" max="14" width="3.88671875" style="28" bestFit="1" customWidth="1"/>
    <col min="15" max="15" width="4.44140625" style="28" bestFit="1" customWidth="1"/>
    <col min="16" max="16" width="8.21875" style="28" bestFit="1" customWidth="1"/>
    <col min="17" max="17" width="6.33203125" style="28" bestFit="1" customWidth="1"/>
    <col min="18" max="18" width="4.109375" style="28" bestFit="1" customWidth="1"/>
    <col min="19" max="19" width="6.6640625" style="28" bestFit="1" customWidth="1"/>
    <col min="20" max="20" width="8.77734375" style="28" bestFit="1" customWidth="1"/>
    <col min="21" max="21" width="11" style="28" bestFit="1" customWidth="1"/>
    <col min="22" max="22" width="7.77734375" style="28" bestFit="1" customWidth="1"/>
  </cols>
  <sheetData>
    <row r="1" spans="2:22" x14ac:dyDescent="0.3">
      <c r="B1" t="s">
        <v>17</v>
      </c>
      <c r="C1" t="s">
        <v>18</v>
      </c>
      <c r="D1" t="s">
        <v>19</v>
      </c>
      <c r="E1" t="s">
        <v>14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22</v>
      </c>
      <c r="N1" t="s">
        <v>23</v>
      </c>
      <c r="O1" t="s">
        <v>24</v>
      </c>
      <c r="P1" t="s">
        <v>25</v>
      </c>
      <c r="Q1" t="s">
        <v>21</v>
      </c>
      <c r="R1" t="s">
        <v>20</v>
      </c>
      <c r="S1" t="s">
        <v>14</v>
      </c>
      <c r="T1" t="s">
        <v>19</v>
      </c>
      <c r="U1" t="s">
        <v>18</v>
      </c>
      <c r="V1" t="s">
        <v>17</v>
      </c>
    </row>
    <row r="2" spans="2:22" x14ac:dyDescent="0.3">
      <c r="B2" s="5" t="e">
        <f>INDEX('abcd (2)'!B:B,MATCH(L2,'abcd (2)'!L:L,0))</f>
        <v>#N/A</v>
      </c>
      <c r="C2" s="5" t="e">
        <f>INDEX('abcd (2)'!C:C,MATCH(L2,'abcd (2)'!L:L,0))</f>
        <v>#N/A</v>
      </c>
      <c r="D2" s="5" t="e">
        <f>INDEX('abcd (2)'!D:D,MATCH(L2,'abcd (2)'!L:L,0))</f>
        <v>#N/A</v>
      </c>
      <c r="E2" s="5" t="e">
        <f>INDEX('abcd (2)'!E:E,MATCH(L2,'abcd (2)'!L:L,0))</f>
        <v>#N/A</v>
      </c>
      <c r="F2" s="5"/>
      <c r="G2" s="5"/>
      <c r="H2" s="5"/>
      <c r="I2" s="26"/>
      <c r="J2" s="26"/>
      <c r="K2" s="27"/>
      <c r="L2" s="26">
        <f>L3-50</f>
        <v>24350</v>
      </c>
      <c r="M2" s="27"/>
      <c r="N2" s="5"/>
      <c r="O2" s="5"/>
      <c r="P2" s="27"/>
      <c r="Q2" s="5"/>
      <c r="R2" s="5"/>
      <c r="S2" s="5" t="e">
        <f>INDEX('abcd (2)'!S:S,MATCH(L2,'abcd (2)'!L:L,0))</f>
        <v>#N/A</v>
      </c>
      <c r="T2" s="5" t="e">
        <f>INDEX('abcd (2)'!T:T,MATCH(L2,'abcd (2)'!L:L,0))</f>
        <v>#N/A</v>
      </c>
      <c r="U2" s="27" t="e">
        <f>INDEX('abcd (2)'!U:U,MATCH(L2,'abcd (2)'!L:L,0))</f>
        <v>#N/A</v>
      </c>
      <c r="V2" s="5" t="e">
        <f>INDEX('abcd (2)'!V:V,MATCH(L2,'abcd (2)'!L:L,0))</f>
        <v>#N/A</v>
      </c>
    </row>
    <row r="3" spans="2:22" x14ac:dyDescent="0.3">
      <c r="B3" s="5" t="e">
        <f>INDEX('abcd (2)'!B:B,MATCH(L3,'abcd (2)'!L:L,0))</f>
        <v>#N/A</v>
      </c>
      <c r="C3" s="5" t="e">
        <f>INDEX('abcd (2)'!C:C,MATCH(L3,'abcd (2)'!L:L,0))</f>
        <v>#N/A</v>
      </c>
      <c r="D3" s="5" t="e">
        <f>INDEX('abcd (2)'!D:D,MATCH(L3,'abcd (2)'!L:L,0))</f>
        <v>#N/A</v>
      </c>
      <c r="E3" s="5" t="e">
        <f>INDEX('abcd (2)'!E:E,MATCH(L3,'abcd (2)'!L:L,0))</f>
        <v>#N/A</v>
      </c>
      <c r="F3" s="5"/>
      <c r="G3" s="5"/>
      <c r="H3" s="5"/>
      <c r="I3" s="26"/>
      <c r="J3" s="26"/>
      <c r="K3" s="27"/>
      <c r="L3" s="26">
        <f>L4-50</f>
        <v>24400</v>
      </c>
      <c r="M3" s="27"/>
      <c r="N3" s="5"/>
      <c r="O3" s="5"/>
      <c r="P3" s="27"/>
      <c r="Q3" s="5"/>
      <c r="R3" s="5"/>
      <c r="S3" s="5" t="e">
        <f>INDEX('abcd (2)'!S:S,MATCH(L3,'abcd (2)'!L:L,0))</f>
        <v>#N/A</v>
      </c>
      <c r="T3" s="5" t="e">
        <f>INDEX('abcd (2)'!T:T,MATCH(L3,'abcd (2)'!L:L,0))</f>
        <v>#N/A</v>
      </c>
      <c r="U3" s="27" t="e">
        <f>INDEX('abcd (2)'!U:U,MATCH(L3,'abcd (2)'!L:L,0))</f>
        <v>#N/A</v>
      </c>
      <c r="V3" s="5" t="e">
        <f>INDEX('abcd (2)'!V:V,MATCH(L3,'abcd (2)'!L:L,0))</f>
        <v>#N/A</v>
      </c>
    </row>
    <row r="4" spans="2:22" x14ac:dyDescent="0.3">
      <c r="B4" s="5" t="e">
        <f>INDEX('abcd (2)'!B:B,MATCH(L4,'abcd (2)'!L:L,0))</f>
        <v>#N/A</v>
      </c>
      <c r="C4" s="5" t="e">
        <f>INDEX('abcd (2)'!C:C,MATCH(L4,'abcd (2)'!L:L,0))</f>
        <v>#N/A</v>
      </c>
      <c r="D4" s="5" t="e">
        <f>INDEX('abcd (2)'!D:D,MATCH(L4,'abcd (2)'!L:L,0))</f>
        <v>#N/A</v>
      </c>
      <c r="E4" s="5" t="e">
        <f>INDEX('abcd (2)'!E:E,MATCH(L4,'abcd (2)'!L:L,0))</f>
        <v>#N/A</v>
      </c>
      <c r="F4" s="5"/>
      <c r="G4" s="5"/>
      <c r="H4" s="5"/>
      <c r="I4" s="26"/>
      <c r="J4" s="26"/>
      <c r="K4" s="27"/>
      <c r="L4" s="26">
        <f>L5-50</f>
        <v>24450</v>
      </c>
      <c r="M4" s="27"/>
      <c r="N4" s="5"/>
      <c r="O4" s="5"/>
      <c r="P4" s="27"/>
      <c r="Q4" s="5"/>
      <c r="R4" s="5"/>
      <c r="S4" s="5" t="e">
        <f>INDEX('abcd (2)'!S:S,MATCH(L4,'abcd (2)'!L:L,0))</f>
        <v>#N/A</v>
      </c>
      <c r="T4" s="5" t="e">
        <f>INDEX('abcd (2)'!T:T,MATCH(L4,'abcd (2)'!L:L,0))</f>
        <v>#N/A</v>
      </c>
      <c r="U4" s="27" t="e">
        <f>INDEX('abcd (2)'!U:U,MATCH(L4,'abcd (2)'!L:L,0))</f>
        <v>#N/A</v>
      </c>
      <c r="V4" s="5" t="e">
        <f>INDEX('abcd (2)'!V:V,MATCH(L4,'abcd (2)'!L:L,0))</f>
        <v>#N/A</v>
      </c>
    </row>
    <row r="5" spans="2:22" x14ac:dyDescent="0.3">
      <c r="B5" s="5" t="e">
        <f>INDEX('abcd (2)'!B:B,MATCH(L5,'abcd (2)'!L:L,0))</f>
        <v>#N/A</v>
      </c>
      <c r="C5" s="5" t="e">
        <f>INDEX('abcd (2)'!C:C,MATCH(L5,'abcd (2)'!L:L,0))</f>
        <v>#N/A</v>
      </c>
      <c r="D5" s="5" t="e">
        <f>INDEX('abcd (2)'!D:D,MATCH(L5,'abcd (2)'!L:L,0))</f>
        <v>#N/A</v>
      </c>
      <c r="E5" s="5" t="e">
        <f>INDEX('abcd (2)'!E:E,MATCH(L5,'abcd (2)'!L:L,0))</f>
        <v>#N/A</v>
      </c>
      <c r="F5" s="5"/>
      <c r="G5" s="5"/>
      <c r="H5" s="5"/>
      <c r="I5" s="26"/>
      <c r="J5" s="26"/>
      <c r="K5" s="27"/>
      <c r="L5" s="26">
        <f>L6-50</f>
        <v>24500</v>
      </c>
      <c r="M5" s="27"/>
      <c r="N5" s="5"/>
      <c r="O5" s="5"/>
      <c r="P5" s="27"/>
      <c r="Q5" s="5"/>
      <c r="R5" s="5"/>
      <c r="S5" s="5" t="e">
        <f>INDEX('abcd (2)'!S:S,MATCH(L5,'abcd (2)'!L:L,0))</f>
        <v>#N/A</v>
      </c>
      <c r="T5" s="5" t="e">
        <f>INDEX('abcd (2)'!T:T,MATCH(L5,'abcd (2)'!L:L,0))</f>
        <v>#N/A</v>
      </c>
      <c r="U5" s="27" t="e">
        <f>INDEX('abcd (2)'!U:U,MATCH(L5,'abcd (2)'!L:L,0))</f>
        <v>#N/A</v>
      </c>
      <c r="V5" s="5" t="e">
        <f>INDEX('abcd (2)'!V:V,MATCH(L5,'abcd (2)'!L:L,0))</f>
        <v>#N/A</v>
      </c>
    </row>
    <row r="6" spans="2:22" x14ac:dyDescent="0.3">
      <c r="B6" s="5" t="e">
        <f>INDEX('abcd (2)'!B:B,MATCH(L6,'abcd (2)'!L:L,0))</f>
        <v>#N/A</v>
      </c>
      <c r="C6" s="5" t="e">
        <f>INDEX('abcd (2)'!C:C,MATCH(L6,'abcd (2)'!L:L,0))</f>
        <v>#N/A</v>
      </c>
      <c r="D6" s="5" t="e">
        <f>INDEX('abcd (2)'!D:D,MATCH(L6,'abcd (2)'!L:L,0))</f>
        <v>#N/A</v>
      </c>
      <c r="E6" s="5" t="e">
        <f>INDEX('abcd (2)'!E:E,MATCH(L6,'abcd (2)'!L:L,0))</f>
        <v>#N/A</v>
      </c>
      <c r="F6" s="5"/>
      <c r="G6" s="5"/>
      <c r="H6" s="5"/>
      <c r="I6" s="26"/>
      <c r="J6" s="26"/>
      <c r="K6" s="27"/>
      <c r="L6" s="26">
        <f>Entry!A2</f>
        <v>24550</v>
      </c>
      <c r="M6" s="27"/>
      <c r="N6" s="5"/>
      <c r="O6" s="5"/>
      <c r="P6" s="27"/>
      <c r="Q6" s="5"/>
      <c r="R6" s="5"/>
      <c r="S6" s="5" t="e">
        <f>INDEX('abcd (2)'!S:S,MATCH(L6,'abcd (2)'!L:L,0))</f>
        <v>#N/A</v>
      </c>
      <c r="T6" s="5" t="e">
        <f>INDEX('abcd (2)'!T:T,MATCH(L6,'abcd (2)'!L:L,0))</f>
        <v>#N/A</v>
      </c>
      <c r="U6" s="27" t="e">
        <f>INDEX('abcd (2)'!U:U,MATCH(L6,'abcd (2)'!L:L,0))</f>
        <v>#N/A</v>
      </c>
      <c r="V6" s="5" t="e">
        <f>INDEX('abcd (2)'!V:V,MATCH(L6,'abcd (2)'!L:L,0))</f>
        <v>#N/A</v>
      </c>
    </row>
    <row r="7" spans="2:22" x14ac:dyDescent="0.3">
      <c r="B7" s="5" t="e">
        <f>INDEX('abcd (2)'!B:B,MATCH(L7,'abcd (2)'!L:L,0))</f>
        <v>#N/A</v>
      </c>
      <c r="C7" s="5" t="e">
        <f>INDEX('abcd (2)'!C:C,MATCH(L7,'abcd (2)'!L:L,0))</f>
        <v>#N/A</v>
      </c>
      <c r="D7" s="5" t="e">
        <f>INDEX('abcd (2)'!D:D,MATCH(L7,'abcd (2)'!L:L,0))</f>
        <v>#N/A</v>
      </c>
      <c r="E7" s="5" t="e">
        <f>INDEX('abcd (2)'!E:E,MATCH(L7,'abcd (2)'!L:L,0))</f>
        <v>#N/A</v>
      </c>
      <c r="F7" s="5"/>
      <c r="G7" s="5"/>
      <c r="H7" s="5"/>
      <c r="I7" s="26"/>
      <c r="J7" s="26"/>
      <c r="K7" s="27"/>
      <c r="L7" s="26">
        <f>L6+50</f>
        <v>24600</v>
      </c>
      <c r="M7" s="27"/>
      <c r="N7" s="5"/>
      <c r="O7" s="5"/>
      <c r="P7" s="27"/>
      <c r="Q7" s="5"/>
      <c r="R7" s="5"/>
      <c r="S7" s="5" t="e">
        <f>INDEX('abcd (2)'!S:S,MATCH(L7,'abcd (2)'!L:L,0))</f>
        <v>#N/A</v>
      </c>
      <c r="T7" s="5" t="e">
        <f>INDEX('abcd (2)'!T:T,MATCH(L7,'abcd (2)'!L:L,0))</f>
        <v>#N/A</v>
      </c>
      <c r="U7" s="27" t="e">
        <f>INDEX('abcd (2)'!U:U,MATCH(L7,'abcd (2)'!L:L,0))</f>
        <v>#N/A</v>
      </c>
      <c r="V7" s="5" t="e">
        <f>INDEX('abcd (2)'!V:V,MATCH(L7,'abcd (2)'!L:L,0))</f>
        <v>#N/A</v>
      </c>
    </row>
    <row r="8" spans="2:22" x14ac:dyDescent="0.3">
      <c r="B8" s="5" t="e">
        <f>INDEX('abcd (2)'!B:B,MATCH(L8,'abcd (2)'!L:L,0))</f>
        <v>#N/A</v>
      </c>
      <c r="C8" s="5" t="e">
        <f>INDEX('abcd (2)'!C:C,MATCH(L8,'abcd (2)'!L:L,0))</f>
        <v>#N/A</v>
      </c>
      <c r="D8" s="5" t="e">
        <f>INDEX('abcd (2)'!D:D,MATCH(L8,'abcd (2)'!L:L,0))</f>
        <v>#N/A</v>
      </c>
      <c r="E8" s="5" t="e">
        <f>INDEX('abcd (2)'!E:E,MATCH(L8,'abcd (2)'!L:L,0))</f>
        <v>#N/A</v>
      </c>
      <c r="F8" s="5"/>
      <c r="G8" s="5"/>
      <c r="H8" s="5"/>
      <c r="I8" s="26"/>
      <c r="J8" s="26"/>
      <c r="K8" s="27"/>
      <c r="L8" s="26">
        <f>L7+50</f>
        <v>24650</v>
      </c>
      <c r="M8" s="27"/>
      <c r="N8" s="5"/>
      <c r="O8" s="5"/>
      <c r="P8" s="27"/>
      <c r="Q8" s="5"/>
      <c r="R8" s="5"/>
      <c r="S8" s="5" t="e">
        <f>INDEX('abcd (2)'!S:S,MATCH(L8,'abcd (2)'!L:L,0))</f>
        <v>#N/A</v>
      </c>
      <c r="T8" s="5" t="e">
        <f>INDEX('abcd (2)'!T:T,MATCH(L8,'abcd (2)'!L:L,0))</f>
        <v>#N/A</v>
      </c>
      <c r="U8" s="27" t="e">
        <f>INDEX('abcd (2)'!U:U,MATCH(L8,'abcd (2)'!L:L,0))</f>
        <v>#N/A</v>
      </c>
      <c r="V8" s="5" t="e">
        <f>INDEX('abcd (2)'!V:V,MATCH(L8,'abcd (2)'!L:L,0))</f>
        <v>#N/A</v>
      </c>
    </row>
    <row r="9" spans="2:22" x14ac:dyDescent="0.3">
      <c r="B9" s="5" t="e">
        <f>INDEX('abcd (2)'!B:B,MATCH(L9,'abcd (2)'!L:L,0))</f>
        <v>#N/A</v>
      </c>
      <c r="C9" s="5" t="e">
        <f>INDEX('abcd (2)'!C:C,MATCH(L9,'abcd (2)'!L:L,0))</f>
        <v>#N/A</v>
      </c>
      <c r="D9" s="5" t="e">
        <f>INDEX('abcd (2)'!D:D,MATCH(L9,'abcd (2)'!L:L,0))</f>
        <v>#N/A</v>
      </c>
      <c r="E9" s="5" t="e">
        <f>INDEX('abcd (2)'!E:E,MATCH(L9,'abcd (2)'!L:L,0))</f>
        <v>#N/A</v>
      </c>
      <c r="F9" s="5"/>
      <c r="G9" s="5"/>
      <c r="H9" s="5"/>
      <c r="I9" s="26"/>
      <c r="J9" s="26"/>
      <c r="K9" s="27"/>
      <c r="L9" s="26">
        <f>L8+50</f>
        <v>24700</v>
      </c>
      <c r="M9" s="27"/>
      <c r="N9" s="5"/>
      <c r="O9" s="5"/>
      <c r="P9" s="27"/>
      <c r="Q9" s="5"/>
      <c r="R9" s="5"/>
      <c r="S9" s="5" t="e">
        <f>INDEX('abcd (2)'!S:S,MATCH(L9,'abcd (2)'!L:L,0))</f>
        <v>#N/A</v>
      </c>
      <c r="T9" s="5" t="e">
        <f>INDEX('abcd (2)'!T:T,MATCH(L9,'abcd (2)'!L:L,0))</f>
        <v>#N/A</v>
      </c>
      <c r="U9" s="27" t="e">
        <f>INDEX('abcd (2)'!U:U,MATCH(L9,'abcd (2)'!L:L,0))</f>
        <v>#N/A</v>
      </c>
      <c r="V9" s="5" t="e">
        <f>INDEX('abcd (2)'!V:V,MATCH(L9,'abcd (2)'!L:L,0))</f>
        <v>#N/A</v>
      </c>
    </row>
    <row r="10" spans="2:22" x14ac:dyDescent="0.3">
      <c r="B10" s="5" t="e">
        <f>INDEX('abcd (2)'!B:B,MATCH(L10,'abcd (2)'!L:L,0))</f>
        <v>#N/A</v>
      </c>
      <c r="C10" s="5" t="e">
        <f>INDEX('abcd (2)'!C:C,MATCH(L10,'abcd (2)'!L:L,0))</f>
        <v>#N/A</v>
      </c>
      <c r="D10" s="5" t="e">
        <f>INDEX('abcd (2)'!D:D,MATCH(L10,'abcd (2)'!L:L,0))</f>
        <v>#N/A</v>
      </c>
      <c r="E10" s="5" t="e">
        <f>INDEX('abcd (2)'!E:E,MATCH(L10,'abcd (2)'!L:L,0))</f>
        <v>#N/A</v>
      </c>
      <c r="F10" s="5"/>
      <c r="G10" s="5"/>
      <c r="H10" s="5"/>
      <c r="I10" s="26"/>
      <c r="J10" s="26"/>
      <c r="K10" s="27"/>
      <c r="L10" s="26">
        <f>L9+50</f>
        <v>24750</v>
      </c>
      <c r="M10" s="27"/>
      <c r="N10" s="5"/>
      <c r="O10" s="5"/>
      <c r="P10" s="27"/>
      <c r="Q10" s="5"/>
      <c r="R10" s="5"/>
      <c r="S10" s="5" t="e">
        <f>INDEX('abcd (2)'!S:S,MATCH(L10,'abcd (2)'!L:L,0))</f>
        <v>#N/A</v>
      </c>
      <c r="T10" s="5" t="e">
        <f>INDEX('abcd (2)'!T:T,MATCH(L10,'abcd (2)'!L:L,0))</f>
        <v>#N/A</v>
      </c>
      <c r="U10" s="27" t="e">
        <f>INDEX('abcd (2)'!U:U,MATCH(L10,'abcd (2)'!L:L,0))</f>
        <v>#N/A</v>
      </c>
      <c r="V10" s="5" t="e">
        <f>INDEX('abcd (2)'!V:V,MATCH(L10,'abcd (2)'!L:L,0))</f>
        <v>#N/A</v>
      </c>
    </row>
    <row r="11" spans="2:22" x14ac:dyDescent="0.3">
      <c r="B11" s="5" t="e">
        <f>INDEX('abcd (2)'!B:B,MATCH(L11,'abcd (2)'!L:L,0))</f>
        <v>#N/A</v>
      </c>
      <c r="C11" s="5" t="e">
        <f>INDEX('abcd (2)'!C:C,MATCH(L11,'abcd (2)'!L:L,0))</f>
        <v>#N/A</v>
      </c>
      <c r="D11" s="5" t="e">
        <f>INDEX('abcd (2)'!D:D,MATCH(L11,'abcd (2)'!L:L,0))</f>
        <v>#N/A</v>
      </c>
      <c r="E11" s="5" t="e">
        <f>INDEX('abcd (2)'!E:E,MATCH(L11,'abcd (2)'!L:L,0))</f>
        <v>#N/A</v>
      </c>
      <c r="F11" s="5"/>
      <c r="G11" s="5"/>
      <c r="H11" s="5"/>
      <c r="I11" s="26"/>
      <c r="J11" s="26"/>
      <c r="K11" s="27"/>
      <c r="L11" s="26">
        <f>L10+50</f>
        <v>24800</v>
      </c>
      <c r="M11" s="27"/>
      <c r="N11" s="5"/>
      <c r="O11" s="5"/>
      <c r="P11" s="27"/>
      <c r="Q11" s="5"/>
      <c r="R11" s="5"/>
      <c r="S11" s="5" t="e">
        <f>INDEX('abcd (2)'!S:S,MATCH(L11,'abcd (2)'!L:L,0))</f>
        <v>#N/A</v>
      </c>
      <c r="T11" s="5" t="e">
        <f>INDEX('abcd (2)'!T:T,MATCH(L11,'abcd (2)'!L:L,0))</f>
        <v>#N/A</v>
      </c>
      <c r="U11" s="27" t="e">
        <f>INDEX('abcd (2)'!U:U,MATCH(L11,'abcd (2)'!L:L,0))</f>
        <v>#N/A</v>
      </c>
      <c r="V11" s="5" t="e">
        <f>INDEX('abcd (2)'!V:V,MATCH(L11,'abcd (2)'!L:L,0))</f>
        <v>#N/A</v>
      </c>
    </row>
    <row r="12" spans="2:22" x14ac:dyDescent="0.3">
      <c r="B12" s="2"/>
      <c r="D12" s="2"/>
      <c r="L12" s="1"/>
      <c r="M12" s="2"/>
      <c r="P12" s="2"/>
      <c r="U12" s="2"/>
    </row>
    <row r="13" spans="2:22" x14ac:dyDescent="0.3"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/>
      <c r="O13" s="43"/>
      <c r="P13" s="2"/>
      <c r="U13" s="2"/>
      <c r="V13" s="2"/>
    </row>
    <row r="14" spans="2:22" x14ac:dyDescent="0.3">
      <c r="B14" s="2"/>
      <c r="C14" s="2"/>
      <c r="D14" s="2"/>
      <c r="L14" s="1"/>
      <c r="U14" s="2"/>
      <c r="V14" s="2"/>
    </row>
    <row r="15" spans="2:22" x14ac:dyDescent="0.3">
      <c r="B15" s="2"/>
      <c r="C15" s="2"/>
      <c r="D15" s="2"/>
      <c r="L15" s="1"/>
      <c r="U15" s="2"/>
      <c r="V15" s="2"/>
    </row>
    <row r="16" spans="2:22" x14ac:dyDescent="0.3">
      <c r="B16" s="2"/>
      <c r="C16" s="2"/>
      <c r="D16" s="2"/>
      <c r="L16" s="1"/>
      <c r="U16" s="2"/>
      <c r="V16" s="2"/>
    </row>
    <row r="17" spans="2:22" x14ac:dyDescent="0.3">
      <c r="B17" s="2"/>
      <c r="C17" s="2"/>
      <c r="D17" s="2"/>
      <c r="L17" s="1"/>
      <c r="U17" s="2"/>
      <c r="V17" s="2"/>
    </row>
    <row r="18" spans="2:22" x14ac:dyDescent="0.3">
      <c r="B18" s="2"/>
      <c r="C18" s="2"/>
      <c r="L18" s="1"/>
      <c r="U18" s="2"/>
    </row>
    <row r="19" spans="2:22" x14ac:dyDescent="0.3">
      <c r="B19" s="2"/>
      <c r="C19" s="2"/>
      <c r="D19" s="2"/>
      <c r="L19" s="1"/>
      <c r="U19" s="2"/>
      <c r="V19" s="2"/>
    </row>
    <row r="20" spans="2:22" x14ac:dyDescent="0.3">
      <c r="B20" s="2"/>
      <c r="C20" s="2"/>
      <c r="L20" s="1"/>
      <c r="U20" s="2"/>
      <c r="V20" s="2"/>
    </row>
    <row r="21" spans="2:22" x14ac:dyDescent="0.3">
      <c r="B21" s="2"/>
      <c r="C21" s="2"/>
      <c r="L21" s="1"/>
      <c r="P21" s="2"/>
      <c r="U21" s="2"/>
      <c r="V21" s="2"/>
    </row>
    <row r="22" spans="2:22" x14ac:dyDescent="0.3">
      <c r="B22" s="2"/>
      <c r="C22" s="2"/>
      <c r="L22" s="1"/>
      <c r="U22" s="2"/>
    </row>
    <row r="23" spans="2:22" x14ac:dyDescent="0.3">
      <c r="B23" s="2"/>
      <c r="C23" s="2"/>
      <c r="K23" s="2"/>
      <c r="L23" s="1"/>
      <c r="U23" s="2"/>
      <c r="V23" s="2"/>
    </row>
    <row r="24" spans="2:22" x14ac:dyDescent="0.3">
      <c r="K24" s="2"/>
      <c r="L24" s="1"/>
      <c r="U24" s="2"/>
    </row>
    <row r="25" spans="2:22" x14ac:dyDescent="0.3">
      <c r="B25" s="2"/>
      <c r="C25" s="2"/>
      <c r="L25" s="1"/>
      <c r="P25" s="2"/>
      <c r="U25" s="2"/>
      <c r="V25" s="2"/>
    </row>
    <row r="26" spans="2:22" x14ac:dyDescent="0.3">
      <c r="C26" s="2"/>
      <c r="K26" s="2"/>
      <c r="L26" s="1"/>
      <c r="U26" s="2"/>
      <c r="V26" s="2"/>
    </row>
    <row r="27" spans="2:22" x14ac:dyDescent="0.3">
      <c r="B27" s="2"/>
      <c r="C27" s="2"/>
      <c r="K27" s="2"/>
      <c r="L27" s="1"/>
      <c r="U27" s="2"/>
      <c r="V27" s="2"/>
    </row>
    <row r="28" spans="2:22" x14ac:dyDescent="0.3">
      <c r="L28" s="1"/>
      <c r="U28" s="2"/>
      <c r="V28" s="2"/>
    </row>
    <row r="29" spans="2:22" x14ac:dyDescent="0.3">
      <c r="B29" s="2"/>
      <c r="C29" s="2"/>
      <c r="H29" s="2"/>
      <c r="L29" s="1"/>
      <c r="T29" s="2"/>
      <c r="U29" s="2"/>
      <c r="V29" s="2"/>
    </row>
    <row r="30" spans="2:22" x14ac:dyDescent="0.3">
      <c r="C30" s="2"/>
      <c r="H30" s="2"/>
      <c r="K30" s="2"/>
      <c r="L30" s="1"/>
      <c r="U30" s="2"/>
      <c r="V30" s="2"/>
    </row>
    <row r="31" spans="2:22" x14ac:dyDescent="0.3">
      <c r="B31" s="2"/>
      <c r="C31" s="2"/>
      <c r="L31" s="1"/>
      <c r="T31" s="2"/>
      <c r="V31" s="2"/>
    </row>
    <row r="32" spans="2:22" x14ac:dyDescent="0.3">
      <c r="C32" s="2"/>
      <c r="H32" s="2"/>
      <c r="K32" s="2"/>
      <c r="L32" s="1"/>
      <c r="T32" s="2"/>
      <c r="U32" s="2"/>
      <c r="V32" s="2"/>
    </row>
    <row r="33" spans="2:22" x14ac:dyDescent="0.3">
      <c r="B33" s="2"/>
      <c r="C33" s="2"/>
      <c r="H33" s="2"/>
      <c r="K33" s="2"/>
      <c r="L33" s="1"/>
      <c r="T33" s="2"/>
      <c r="V33" s="2"/>
    </row>
    <row r="34" spans="2:22" x14ac:dyDescent="0.3">
      <c r="C34" s="2"/>
      <c r="H34" s="2"/>
      <c r="K34" s="2"/>
      <c r="L34" s="1"/>
      <c r="T34" s="2"/>
      <c r="V34" s="2"/>
    </row>
    <row r="35" spans="2:22" x14ac:dyDescent="0.3">
      <c r="B35" s="2"/>
      <c r="C35" s="2"/>
      <c r="H35" s="2"/>
      <c r="K35" s="2"/>
      <c r="L35" s="1"/>
      <c r="T35" s="2"/>
    </row>
    <row r="36" spans="2:22" x14ac:dyDescent="0.3">
      <c r="C36" s="2"/>
      <c r="H36" s="2"/>
      <c r="K36" s="2"/>
      <c r="L36" s="1"/>
      <c r="T36" s="2"/>
      <c r="V36" s="2"/>
    </row>
    <row r="37" spans="2:22" x14ac:dyDescent="0.3">
      <c r="B37" s="2"/>
      <c r="C37" s="2"/>
      <c r="H37" s="2"/>
      <c r="K37" s="2"/>
      <c r="L37" s="1"/>
    </row>
    <row r="38" spans="2:22" x14ac:dyDescent="0.3">
      <c r="C38" s="2"/>
      <c r="H38" s="2"/>
      <c r="K38" s="2"/>
      <c r="L38" s="1"/>
      <c r="T38" s="2"/>
      <c r="V38" s="2"/>
    </row>
    <row r="39" spans="2:22" x14ac:dyDescent="0.3">
      <c r="B39" s="2"/>
      <c r="C39" s="2"/>
      <c r="H39" s="2"/>
      <c r="K39" s="2"/>
      <c r="L39" s="1"/>
    </row>
    <row r="40" spans="2:22" x14ac:dyDescent="0.3">
      <c r="C40" s="2"/>
      <c r="H40" s="2"/>
      <c r="K40" s="2"/>
      <c r="L40" s="1"/>
    </row>
    <row r="41" spans="2:22" x14ac:dyDescent="0.3">
      <c r="B41" s="2"/>
      <c r="C41" s="2"/>
      <c r="H41" s="2"/>
      <c r="K41" s="2"/>
      <c r="L41" s="1"/>
    </row>
    <row r="42" spans="2:22" x14ac:dyDescent="0.3">
      <c r="C42" s="2"/>
      <c r="H42" s="2"/>
      <c r="K42" s="2"/>
      <c r="L42" s="1"/>
    </row>
    <row r="43" spans="2:22" x14ac:dyDescent="0.3">
      <c r="B43" s="2"/>
      <c r="C43" s="2"/>
      <c r="H43" s="2"/>
      <c r="K43" s="2"/>
      <c r="L43" s="1"/>
      <c r="M43" s="2"/>
      <c r="O43" s="1"/>
      <c r="P43" s="2"/>
    </row>
    <row r="44" spans="2:22" x14ac:dyDescent="0.3">
      <c r="B44" s="2"/>
      <c r="C44" s="2"/>
      <c r="H44" s="2"/>
      <c r="K44" s="2"/>
      <c r="L44" s="1"/>
      <c r="N44" s="1"/>
      <c r="O44" s="1"/>
      <c r="R44" s="1"/>
    </row>
    <row r="45" spans="2:22" x14ac:dyDescent="0.3">
      <c r="B45" s="2"/>
      <c r="C45" s="2"/>
      <c r="D45" s="2"/>
      <c r="H45" s="2"/>
      <c r="K45" s="2"/>
      <c r="L45" s="1"/>
      <c r="N45" s="1"/>
      <c r="O45" s="1"/>
      <c r="R45" s="1"/>
    </row>
    <row r="46" spans="2:22" x14ac:dyDescent="0.3">
      <c r="H46" s="2"/>
      <c r="K46" s="2"/>
      <c r="L46" s="1"/>
      <c r="N46" s="1"/>
      <c r="O46" s="1"/>
      <c r="R46" s="1"/>
    </row>
    <row r="47" spans="2:22" x14ac:dyDescent="0.3">
      <c r="B47" s="2"/>
      <c r="C47" s="2"/>
      <c r="D47" s="2"/>
      <c r="H47" s="2"/>
      <c r="K47" s="2"/>
      <c r="L47" s="1"/>
      <c r="M47" s="2"/>
      <c r="N47" s="1"/>
      <c r="O47" s="1"/>
      <c r="P47" s="2"/>
    </row>
    <row r="48" spans="2:22" x14ac:dyDescent="0.3">
      <c r="H48" s="2"/>
      <c r="K48" s="2"/>
      <c r="L48" s="1"/>
      <c r="N48" s="1"/>
      <c r="O48" s="1"/>
      <c r="R48" s="1"/>
    </row>
    <row r="49" spans="2:20" x14ac:dyDescent="0.3">
      <c r="B49" s="2"/>
      <c r="C49" s="2"/>
      <c r="D49" s="2"/>
      <c r="H49" s="2"/>
      <c r="K49" s="2"/>
      <c r="L49" s="1"/>
      <c r="M49" s="2"/>
      <c r="N49" s="1"/>
      <c r="O49" s="1"/>
      <c r="P49" s="2"/>
    </row>
    <row r="50" spans="2:20" x14ac:dyDescent="0.3">
      <c r="B50" s="2"/>
      <c r="C50" s="2"/>
      <c r="H50" s="2"/>
      <c r="K50" s="2"/>
      <c r="L50" s="1"/>
      <c r="M50" s="2"/>
      <c r="N50" s="1"/>
      <c r="O50" s="1"/>
      <c r="P50" s="2"/>
    </row>
    <row r="51" spans="2:20" x14ac:dyDescent="0.3">
      <c r="B51" s="2"/>
      <c r="C51" s="2"/>
      <c r="D51" s="2"/>
      <c r="H51" s="2"/>
      <c r="K51" s="2"/>
      <c r="L51" s="1"/>
      <c r="M51" s="2"/>
      <c r="N51" s="1"/>
      <c r="O51" s="1"/>
      <c r="P51" s="2"/>
    </row>
    <row r="52" spans="2:20" x14ac:dyDescent="0.3">
      <c r="B52" s="2"/>
      <c r="C52" s="2"/>
      <c r="H52" s="2"/>
      <c r="K52" s="2"/>
      <c r="L52" s="1"/>
      <c r="M52" s="2"/>
      <c r="N52" s="1"/>
      <c r="O52" s="1"/>
      <c r="P52" s="2"/>
    </row>
    <row r="53" spans="2:20" x14ac:dyDescent="0.3">
      <c r="B53" s="2"/>
      <c r="C53" s="2"/>
      <c r="D53" s="2"/>
      <c r="H53" s="2"/>
      <c r="K53" s="2"/>
      <c r="L53" s="1"/>
      <c r="M53" s="2"/>
      <c r="N53" s="1"/>
      <c r="O53" s="1"/>
      <c r="P53" s="2"/>
    </row>
    <row r="54" spans="2:20" x14ac:dyDescent="0.3">
      <c r="B54" s="2"/>
      <c r="C54" s="2"/>
      <c r="H54" s="2"/>
      <c r="K54" s="2"/>
      <c r="L54" s="1"/>
      <c r="M54" s="2"/>
      <c r="N54" s="1"/>
      <c r="O54" s="1"/>
      <c r="P54" s="2"/>
    </row>
    <row r="55" spans="2:20" x14ac:dyDescent="0.3">
      <c r="B55" s="2"/>
      <c r="C55" s="2"/>
      <c r="D55" s="2"/>
      <c r="H55" s="2"/>
      <c r="K55" s="2"/>
      <c r="L55" s="1"/>
      <c r="M55" s="2"/>
      <c r="N55" s="1"/>
      <c r="O55" s="1"/>
      <c r="P55" s="2"/>
    </row>
    <row r="56" spans="2:20" x14ac:dyDescent="0.3">
      <c r="B56" s="2"/>
      <c r="C56" s="2"/>
      <c r="H56" s="2"/>
      <c r="K56" s="2"/>
      <c r="L56" s="1"/>
      <c r="M56" s="2"/>
      <c r="N56" s="1"/>
      <c r="O56" s="1"/>
      <c r="P56" s="2"/>
    </row>
    <row r="57" spans="2:20" x14ac:dyDescent="0.3">
      <c r="B57" s="2"/>
      <c r="C57" s="2"/>
      <c r="D57" s="2"/>
      <c r="H57" s="2"/>
      <c r="K57" s="2"/>
      <c r="L57" s="1"/>
      <c r="M57" s="2"/>
      <c r="N57" s="1"/>
      <c r="O57" s="1"/>
      <c r="P57" s="2"/>
    </row>
    <row r="58" spans="2:20" x14ac:dyDescent="0.3">
      <c r="H58" s="2"/>
      <c r="K58" s="2"/>
      <c r="L58" s="1"/>
      <c r="N58" s="1"/>
      <c r="O58" s="1"/>
      <c r="R58" s="1"/>
    </row>
    <row r="59" spans="2:20" x14ac:dyDescent="0.3">
      <c r="B59" s="2"/>
      <c r="C59" s="2"/>
      <c r="H59" s="2"/>
      <c r="K59" s="2"/>
      <c r="L59" s="1"/>
      <c r="M59" s="2"/>
      <c r="N59" s="1"/>
      <c r="O59" s="1"/>
    </row>
    <row r="60" spans="2:20" x14ac:dyDescent="0.3">
      <c r="B60" s="2"/>
      <c r="C60" s="2"/>
      <c r="H60" s="2"/>
      <c r="K60" s="2"/>
      <c r="L60" s="1"/>
      <c r="M60" s="2"/>
      <c r="N60" s="1"/>
      <c r="O60" s="1"/>
      <c r="P60" s="2"/>
    </row>
    <row r="61" spans="2:20" x14ac:dyDescent="0.3">
      <c r="B61" s="2"/>
      <c r="C61" s="2"/>
      <c r="D61" s="2"/>
      <c r="H61" s="2"/>
      <c r="K61" s="2"/>
      <c r="L61" s="1"/>
      <c r="M61" s="2"/>
      <c r="N61" s="1"/>
      <c r="O61" s="1"/>
      <c r="P61" s="2"/>
    </row>
    <row r="62" spans="2:20" x14ac:dyDescent="0.3">
      <c r="B62" s="2"/>
      <c r="C62" s="2"/>
      <c r="H62" s="2"/>
      <c r="K62" s="2"/>
      <c r="L62" s="1"/>
      <c r="M62" s="2"/>
      <c r="N62" s="1"/>
      <c r="O62" s="1"/>
      <c r="R62" s="1"/>
    </row>
    <row r="63" spans="2:20" x14ac:dyDescent="0.3">
      <c r="B63" s="2"/>
      <c r="H63" s="2"/>
      <c r="K63" s="2"/>
      <c r="L63" s="1"/>
      <c r="M63" s="2"/>
      <c r="N63" s="1"/>
      <c r="O63" s="1"/>
      <c r="P63" s="2"/>
      <c r="R63" s="1"/>
    </row>
    <row r="64" spans="2:20" x14ac:dyDescent="0.3">
      <c r="C64" s="2"/>
      <c r="L64" s="1"/>
      <c r="M64" s="2"/>
      <c r="T64" s="2"/>
    </row>
    <row r="65" spans="2:23" x14ac:dyDescent="0.3">
      <c r="B65" s="2"/>
      <c r="C65" s="2"/>
      <c r="L65" s="1"/>
      <c r="O65" s="1"/>
      <c r="R65" s="1"/>
    </row>
    <row r="66" spans="2:23" x14ac:dyDescent="0.3">
      <c r="B66" s="2"/>
      <c r="C66" s="2"/>
      <c r="L66" s="1"/>
      <c r="N66" s="1"/>
      <c r="O66" s="1"/>
      <c r="R66" s="1"/>
    </row>
    <row r="67" spans="2:23" x14ac:dyDescent="0.3">
      <c r="B67" s="2"/>
      <c r="C67" s="2"/>
      <c r="K67" s="2"/>
      <c r="L67" s="1"/>
      <c r="N67" s="1"/>
      <c r="O67" s="1"/>
      <c r="Q67" s="1"/>
      <c r="R67" s="1"/>
    </row>
    <row r="68" spans="2:23" x14ac:dyDescent="0.3">
      <c r="B68" s="2"/>
      <c r="K68" s="2"/>
      <c r="L68" s="1"/>
      <c r="N68" s="1"/>
      <c r="O68" s="1"/>
      <c r="R68" s="1"/>
    </row>
    <row r="69" spans="2:23" x14ac:dyDescent="0.3">
      <c r="B69" s="2"/>
      <c r="C69" s="2"/>
      <c r="L69" s="1"/>
      <c r="N69" s="1"/>
      <c r="O69" s="1"/>
      <c r="R69" s="1"/>
    </row>
    <row r="70" spans="2:23" x14ac:dyDescent="0.3">
      <c r="B70" s="2"/>
      <c r="C70" s="2"/>
      <c r="K70" s="2"/>
      <c r="L70" s="1"/>
      <c r="N70" s="1"/>
      <c r="O70" s="1"/>
    </row>
    <row r="71" spans="2:23" x14ac:dyDescent="0.3">
      <c r="B71" s="2"/>
      <c r="C71" s="2"/>
      <c r="K71" s="2"/>
      <c r="L71" s="1"/>
      <c r="N71" s="1"/>
      <c r="O71" s="1"/>
      <c r="R71" s="1"/>
    </row>
    <row r="72" spans="2:23" x14ac:dyDescent="0.3">
      <c r="B72" s="2"/>
      <c r="C72" s="2"/>
      <c r="K72" s="2"/>
      <c r="L72" s="1"/>
      <c r="N72" s="1"/>
      <c r="O72" s="1"/>
      <c r="R72" s="1"/>
    </row>
    <row r="73" spans="2:23" x14ac:dyDescent="0.3">
      <c r="B73" s="2"/>
      <c r="C73" s="2"/>
      <c r="D73" s="2"/>
      <c r="K73" s="2"/>
      <c r="L73" s="1"/>
      <c r="N73" s="1"/>
      <c r="O73" s="1"/>
      <c r="R73" s="1"/>
    </row>
    <row r="74" spans="2:23" x14ac:dyDescent="0.3">
      <c r="B74" s="2"/>
      <c r="C74" s="2"/>
      <c r="L74" s="1"/>
      <c r="N74" s="1"/>
      <c r="O74" s="1"/>
      <c r="R74" s="1"/>
    </row>
    <row r="75" spans="2:23" x14ac:dyDescent="0.3">
      <c r="B75" s="2"/>
      <c r="C75" s="2"/>
      <c r="L75" s="1"/>
      <c r="N75" s="1"/>
      <c r="O75" s="1"/>
      <c r="R75" s="1"/>
    </row>
    <row r="76" spans="2:23" x14ac:dyDescent="0.3">
      <c r="B76" s="2"/>
      <c r="C76" s="2"/>
      <c r="L76" s="1"/>
      <c r="N76" s="1"/>
      <c r="O76" s="1"/>
      <c r="Q76" s="1"/>
      <c r="R76" s="1"/>
    </row>
    <row r="77" spans="2:23" x14ac:dyDescent="0.3">
      <c r="D77" s="2"/>
      <c r="K77" s="2"/>
      <c r="L77" s="1"/>
      <c r="N77" s="1"/>
      <c r="O77" s="1"/>
      <c r="Q77" s="1"/>
      <c r="R77" s="1"/>
    </row>
    <row r="78" spans="2:23" x14ac:dyDescent="0.3">
      <c r="B78" s="2"/>
      <c r="C78" s="2"/>
      <c r="D78" s="2"/>
      <c r="K78" s="2"/>
      <c r="L78" s="1"/>
      <c r="N78" s="1"/>
      <c r="O78" s="1"/>
      <c r="Q78" s="1"/>
      <c r="R78" s="1"/>
    </row>
    <row r="79" spans="2:23" x14ac:dyDescent="0.3">
      <c r="B79" s="2"/>
      <c r="C79" s="2"/>
      <c r="L79" s="1"/>
      <c r="V79" s="2"/>
      <c r="W79" s="2"/>
    </row>
    <row r="80" spans="2:23" x14ac:dyDescent="0.3">
      <c r="C80" s="2"/>
      <c r="L80" s="1"/>
      <c r="T80" s="2"/>
      <c r="U80" s="2"/>
      <c r="V80" s="2"/>
      <c r="W80" s="2"/>
    </row>
    <row r="81" spans="2:23" x14ac:dyDescent="0.3">
      <c r="B81" s="2"/>
      <c r="C81" s="2"/>
      <c r="K81" s="2"/>
      <c r="L81" s="1"/>
    </row>
    <row r="82" spans="2:23" x14ac:dyDescent="0.3">
      <c r="B82" s="2"/>
      <c r="C82" s="2"/>
      <c r="L82" s="1"/>
    </row>
    <row r="83" spans="2:23" x14ac:dyDescent="0.3">
      <c r="B83" s="2"/>
      <c r="C83" s="2"/>
      <c r="L83" s="1"/>
    </row>
    <row r="84" spans="2:23" x14ac:dyDescent="0.3">
      <c r="B84" s="2"/>
      <c r="C84" s="2"/>
      <c r="K84" s="2"/>
      <c r="L84" s="1"/>
    </row>
    <row r="85" spans="2:23" x14ac:dyDescent="0.3">
      <c r="B85" s="2"/>
      <c r="C85" s="2"/>
      <c r="K85" s="2"/>
      <c r="L85" s="1"/>
      <c r="M85" s="2"/>
      <c r="N85" s="1"/>
      <c r="O85" s="1"/>
      <c r="P85" s="2"/>
    </row>
    <row r="86" spans="2:23" x14ac:dyDescent="0.3">
      <c r="C86" s="2"/>
      <c r="L86" s="1"/>
      <c r="N86" s="1"/>
      <c r="O86" s="1"/>
      <c r="R86" s="1"/>
      <c r="T86" s="2"/>
      <c r="U86" s="2"/>
      <c r="V86" s="2"/>
      <c r="W86" s="2"/>
    </row>
    <row r="87" spans="2:23" x14ac:dyDescent="0.3">
      <c r="B87" s="2"/>
      <c r="C87" s="2"/>
      <c r="K87" s="2"/>
      <c r="L87" s="1"/>
      <c r="N87" s="1"/>
      <c r="O87" s="1"/>
      <c r="R87" s="1"/>
    </row>
    <row r="88" spans="2:23" x14ac:dyDescent="0.3">
      <c r="B88" s="2"/>
      <c r="C88" s="2"/>
      <c r="L88" s="1"/>
      <c r="N88" s="1"/>
      <c r="O88" s="1"/>
      <c r="R88" s="1"/>
    </row>
    <row r="89" spans="2:23" x14ac:dyDescent="0.3">
      <c r="B89" s="2"/>
      <c r="C89" s="2"/>
      <c r="D89" s="2"/>
      <c r="K89" s="2"/>
      <c r="L89" s="1"/>
      <c r="M89" s="2"/>
      <c r="N89" s="1"/>
      <c r="O89" s="1"/>
      <c r="P89" s="2"/>
    </row>
    <row r="90" spans="2:23" x14ac:dyDescent="0.3">
      <c r="B90" s="2"/>
      <c r="C90" s="2"/>
      <c r="L90" s="1"/>
      <c r="N90" s="1"/>
      <c r="O90" s="1"/>
      <c r="R90" s="1"/>
    </row>
    <row r="91" spans="2:23" x14ac:dyDescent="0.3">
      <c r="B91" s="2"/>
      <c r="C91" s="2"/>
      <c r="D91" s="2"/>
      <c r="K91" s="2"/>
      <c r="L91" s="1"/>
      <c r="M91" s="2"/>
      <c r="N91" s="1"/>
      <c r="O91" s="1"/>
      <c r="P91" s="2"/>
    </row>
    <row r="92" spans="2:23" x14ac:dyDescent="0.3">
      <c r="B92" s="2"/>
      <c r="C92" s="2"/>
      <c r="L92" s="1"/>
      <c r="N92" s="1"/>
      <c r="O92" s="1"/>
      <c r="R92" s="1"/>
    </row>
    <row r="93" spans="2:23" x14ac:dyDescent="0.3">
      <c r="B93" s="2"/>
      <c r="C93" s="2"/>
      <c r="D93" s="2"/>
      <c r="K93" s="2"/>
      <c r="L93" s="1"/>
      <c r="M93" s="2"/>
      <c r="N93" s="1"/>
      <c r="O93" s="1"/>
      <c r="P93" s="2"/>
    </row>
    <row r="94" spans="2:23" x14ac:dyDescent="0.3">
      <c r="B94" s="2"/>
      <c r="C94" s="2"/>
      <c r="D94" s="2"/>
      <c r="L94" s="1"/>
      <c r="N94" s="1"/>
      <c r="O94" s="1"/>
      <c r="R94" s="1"/>
    </row>
    <row r="95" spans="2:23" x14ac:dyDescent="0.3">
      <c r="B95" s="2"/>
      <c r="C95" s="2"/>
      <c r="D95" s="2"/>
      <c r="K95" s="2"/>
      <c r="L95" s="1"/>
      <c r="M95" s="2"/>
      <c r="N95" s="1"/>
      <c r="O95" s="1"/>
      <c r="P95" s="2"/>
      <c r="Q95" s="1"/>
      <c r="R95" s="1"/>
    </row>
    <row r="96" spans="2:23" x14ac:dyDescent="0.3">
      <c r="C96" s="2"/>
      <c r="L96" s="1"/>
      <c r="N96" s="1"/>
      <c r="O96" s="1"/>
      <c r="R96" s="1"/>
      <c r="T96" s="2"/>
      <c r="U96" s="2"/>
      <c r="V96" s="2"/>
      <c r="W96" s="2"/>
    </row>
    <row r="97" spans="2:18" x14ac:dyDescent="0.3">
      <c r="B97" s="2"/>
      <c r="C97" s="2"/>
      <c r="D97" s="2"/>
      <c r="K97" s="2"/>
      <c r="L97" s="1"/>
      <c r="M97" s="2"/>
      <c r="N97" s="1"/>
      <c r="O97" s="1"/>
      <c r="P97" s="2"/>
    </row>
    <row r="98" spans="2:18" x14ac:dyDescent="0.3">
      <c r="B98" s="2"/>
      <c r="D98" s="2"/>
      <c r="K98" s="2"/>
      <c r="L98" s="1"/>
      <c r="M98" s="2"/>
      <c r="N98" s="1"/>
      <c r="O98" s="1"/>
      <c r="P98" s="2"/>
    </row>
    <row r="99" spans="2:18" x14ac:dyDescent="0.3">
      <c r="B99" s="2"/>
      <c r="C99" s="2"/>
      <c r="D99" s="2"/>
      <c r="L99" s="1"/>
      <c r="M99" s="2"/>
      <c r="N99" s="1"/>
      <c r="O99" s="1"/>
      <c r="P99" s="2"/>
    </row>
    <row r="100" spans="2:18" x14ac:dyDescent="0.3">
      <c r="B100" s="2"/>
      <c r="C100" s="2"/>
      <c r="D100" s="2"/>
      <c r="K100" s="2"/>
      <c r="L100" s="1"/>
      <c r="M100" s="2"/>
      <c r="N100" s="1"/>
      <c r="O100" s="1"/>
      <c r="P100" s="2"/>
    </row>
    <row r="101" spans="2:18" x14ac:dyDescent="0.3">
      <c r="B101" s="2"/>
      <c r="C101" s="2"/>
      <c r="D101" s="2"/>
      <c r="K101" s="2"/>
      <c r="L101" s="1"/>
      <c r="M101" s="2"/>
      <c r="N101" s="1"/>
      <c r="O101" s="1"/>
      <c r="P101" s="2"/>
    </row>
    <row r="102" spans="2:18" x14ac:dyDescent="0.3">
      <c r="B102" s="2"/>
      <c r="C102" s="2"/>
      <c r="L102" s="1"/>
      <c r="M102" s="2"/>
      <c r="N102" s="1"/>
      <c r="O102" s="1"/>
      <c r="P102" s="2"/>
    </row>
    <row r="103" spans="2:18" x14ac:dyDescent="0.3">
      <c r="B103" s="2"/>
      <c r="C103" s="2"/>
      <c r="L103" s="1"/>
      <c r="M103" s="2"/>
      <c r="N103" s="1"/>
      <c r="O103" s="1"/>
      <c r="P103" s="2"/>
    </row>
    <row r="104" spans="2:18" x14ac:dyDescent="0.3">
      <c r="B104" s="2"/>
      <c r="C104" s="2"/>
      <c r="L104" s="1"/>
      <c r="N104" s="1"/>
      <c r="O104" s="1"/>
      <c r="R104" s="1"/>
    </row>
    <row r="105" spans="2:18" x14ac:dyDescent="0.3">
      <c r="B105" s="2"/>
      <c r="C105" s="2"/>
      <c r="D105" s="2"/>
      <c r="L105" s="1"/>
      <c r="M105" s="2"/>
      <c r="N105" s="1"/>
      <c r="O105" s="1"/>
      <c r="P105" s="2"/>
    </row>
    <row r="106" spans="2:18" x14ac:dyDescent="0.3">
      <c r="C106" s="2"/>
      <c r="L106" s="1"/>
      <c r="N106" s="1"/>
      <c r="O106" s="1"/>
      <c r="R106" s="1"/>
    </row>
    <row r="107" spans="2:18" x14ac:dyDescent="0.3">
      <c r="C107" s="2"/>
      <c r="L107" s="1"/>
      <c r="M107" s="2"/>
      <c r="N107" s="1"/>
      <c r="O107" s="1"/>
      <c r="P107" s="2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5D14-F8ED-44F8-A432-FDF2998BF13C}">
  <dimension ref="A1:W4"/>
  <sheetViews>
    <sheetView tabSelected="1" workbookViewId="0">
      <selection activeCell="K5" sqref="K5"/>
    </sheetView>
  </sheetViews>
  <sheetFormatPr defaultRowHeight="14.4" x14ac:dyDescent="0.3"/>
  <cols>
    <col min="1" max="9" width="10.77734375" bestFit="1" customWidth="1"/>
    <col min="10" max="23" width="11.77734375" bestFit="1" customWidth="1"/>
  </cols>
  <sheetData>
    <row r="1" spans="1:23" x14ac:dyDescent="0.3">
      <c r="A1" t="s">
        <v>119</v>
      </c>
      <c r="B1" s="28" t="s">
        <v>120</v>
      </c>
      <c r="C1" s="28" t="s">
        <v>121</v>
      </c>
      <c r="D1" s="28" t="s">
        <v>123</v>
      </c>
      <c r="E1" s="28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s="28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s="28" t="s">
        <v>138</v>
      </c>
      <c r="T1" s="28" t="s">
        <v>139</v>
      </c>
      <c r="U1" s="28" t="s">
        <v>140</v>
      </c>
      <c r="V1" s="28" t="s">
        <v>141</v>
      </c>
      <c r="W1" t="s">
        <v>142</v>
      </c>
    </row>
    <row r="2" spans="1:23" x14ac:dyDescent="0.3">
      <c r="A2" s="44" t="s">
        <v>118</v>
      </c>
      <c r="B2" s="28"/>
      <c r="C2" s="28"/>
      <c r="D2" s="28"/>
      <c r="E2" s="28"/>
      <c r="F2" s="44" t="s">
        <v>122</v>
      </c>
      <c r="G2" s="44" t="s">
        <v>122</v>
      </c>
      <c r="H2" s="44" t="s">
        <v>122</v>
      </c>
      <c r="I2" s="44" t="s">
        <v>122</v>
      </c>
      <c r="J2" s="44" t="s">
        <v>122</v>
      </c>
      <c r="K2" s="44" t="s">
        <v>122</v>
      </c>
      <c r="L2" s="28"/>
      <c r="M2" s="44" t="s">
        <v>122</v>
      </c>
      <c r="N2" s="44" t="s">
        <v>122</v>
      </c>
      <c r="O2" s="44" t="s">
        <v>122</v>
      </c>
      <c r="P2" s="44" t="s">
        <v>122</v>
      </c>
      <c r="Q2" s="44" t="s">
        <v>122</v>
      </c>
      <c r="R2" s="44" t="s">
        <v>122</v>
      </c>
      <c r="S2" s="28"/>
      <c r="T2" s="28"/>
      <c r="U2" s="28"/>
      <c r="V2" s="28"/>
      <c r="W2" s="44" t="s">
        <v>122</v>
      </c>
    </row>
    <row r="3" spans="1:23" x14ac:dyDescent="0.3">
      <c r="A3" s="44" t="s">
        <v>122</v>
      </c>
      <c r="B3" s="28"/>
      <c r="C3" s="28"/>
      <c r="D3" s="28"/>
      <c r="E3" s="28"/>
      <c r="F3" s="44" t="s">
        <v>20</v>
      </c>
      <c r="G3" s="44" t="s">
        <v>21</v>
      </c>
      <c r="H3" s="44" t="s">
        <v>22</v>
      </c>
      <c r="I3" s="44" t="s">
        <v>23</v>
      </c>
      <c r="J3" s="44" t="s">
        <v>24</v>
      </c>
      <c r="K3" s="44" t="s">
        <v>25</v>
      </c>
      <c r="L3" s="28"/>
      <c r="M3" s="44" t="s">
        <v>22</v>
      </c>
      <c r="N3" s="44" t="s">
        <v>23</v>
      </c>
      <c r="O3" s="44" t="s">
        <v>24</v>
      </c>
      <c r="P3" s="44" t="s">
        <v>25</v>
      </c>
      <c r="Q3" s="44" t="s">
        <v>21</v>
      </c>
      <c r="R3" s="44" t="s">
        <v>20</v>
      </c>
      <c r="S3" s="28"/>
      <c r="T3" s="28"/>
      <c r="U3" s="28"/>
      <c r="V3" s="28"/>
      <c r="W3" s="44" t="s">
        <v>122</v>
      </c>
    </row>
    <row r="4" spans="1:23" x14ac:dyDescent="0.3">
      <c r="A4" s="44" t="s">
        <v>122</v>
      </c>
      <c r="B4" s="28"/>
      <c r="C4" s="28"/>
      <c r="D4" s="28"/>
      <c r="E4" s="28"/>
      <c r="F4" s="44" t="s">
        <v>122</v>
      </c>
      <c r="G4" s="44" t="s">
        <v>122</v>
      </c>
      <c r="H4" s="44" t="s">
        <v>122</v>
      </c>
      <c r="I4" s="44" t="s">
        <v>122</v>
      </c>
      <c r="J4" s="44" t="s">
        <v>122</v>
      </c>
      <c r="K4" s="44" t="s">
        <v>122</v>
      </c>
      <c r="L4" s="28"/>
      <c r="M4" s="44" t="s">
        <v>122</v>
      </c>
      <c r="N4" s="44" t="s">
        <v>122</v>
      </c>
      <c r="O4" s="44" t="s">
        <v>122</v>
      </c>
      <c r="P4" s="44" t="s">
        <v>122</v>
      </c>
      <c r="Q4" s="44" t="s">
        <v>122</v>
      </c>
      <c r="R4" s="44" t="s">
        <v>122</v>
      </c>
      <c r="S4" s="28"/>
      <c r="T4" s="28"/>
      <c r="U4" s="28"/>
      <c r="V4" s="28"/>
      <c r="W4" s="44" t="s">
        <v>122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Y171"/>
  <sheetViews>
    <sheetView zoomScale="90" zoomScaleNormal="90" workbookViewId="0">
      <selection activeCell="AC15" sqref="AC15"/>
    </sheetView>
  </sheetViews>
  <sheetFormatPr defaultRowHeight="14.4" x14ac:dyDescent="0.3"/>
  <cols>
    <col min="1" max="1" width="4.88671875" style="28" bestFit="1" customWidth="1"/>
    <col min="2" max="2" width="8.5546875" style="28" bestFit="1" customWidth="1"/>
    <col min="3" max="3" width="10.44140625" style="12" bestFit="1" customWidth="1"/>
    <col min="4" max="4" width="9.88671875" style="28" bestFit="1" customWidth="1"/>
    <col min="5" max="5" width="11" style="28" bestFit="1" customWidth="1"/>
    <col min="6" max="6" width="9.88671875" style="28" bestFit="1" customWidth="1"/>
    <col min="7" max="7" width="5.5546875" style="28" bestFit="1" customWidth="1"/>
    <col min="8" max="8" width="7.6640625" style="28" hidden="1" customWidth="1"/>
    <col min="9" max="9" width="8.44140625" style="28" hidden="1" customWidth="1"/>
    <col min="10" max="10" width="7.88671875" style="28" hidden="1" customWidth="1"/>
    <col min="11" max="12" width="7.6640625" style="28" hidden="1" customWidth="1"/>
    <col min="13" max="13" width="8.33203125" style="28" hidden="1" customWidth="1"/>
    <col min="14" max="14" width="9.88671875" style="28" bestFit="1" customWidth="1"/>
    <col min="15" max="15" width="7.88671875" style="28" hidden="1" customWidth="1"/>
    <col min="16" max="17" width="7.6640625" style="28" hidden="1" customWidth="1"/>
    <col min="18" max="18" width="8.33203125" style="28" hidden="1" customWidth="1"/>
    <col min="19" max="19" width="8.44140625" style="28" hidden="1" customWidth="1"/>
    <col min="20" max="20" width="7.6640625" style="28" hidden="1" customWidth="1"/>
    <col min="21" max="21" width="6.6640625" style="28" bestFit="1" customWidth="1"/>
    <col min="22" max="22" width="8.88671875" style="28" bestFit="1" customWidth="1"/>
    <col min="23" max="23" width="11" style="28" bestFit="1" customWidth="1"/>
    <col min="24" max="24" width="10" style="28" bestFit="1" customWidth="1"/>
    <col min="25" max="25" width="15.109375" style="28" customWidth="1"/>
  </cols>
  <sheetData>
    <row r="1" spans="1:25" x14ac:dyDescent="0.3">
      <c r="A1" t="s">
        <v>27</v>
      </c>
      <c r="B1" t="s">
        <v>28</v>
      </c>
      <c r="C1" s="12" t="s">
        <v>29</v>
      </c>
      <c r="D1" t="s">
        <v>17</v>
      </c>
      <c r="E1" t="s">
        <v>18</v>
      </c>
      <c r="F1" t="s">
        <v>19</v>
      </c>
      <c r="G1" t="s">
        <v>14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22</v>
      </c>
      <c r="P1" t="s">
        <v>23</v>
      </c>
      <c r="Q1" t="s">
        <v>24</v>
      </c>
      <c r="R1" t="s">
        <v>25</v>
      </c>
      <c r="S1" t="s">
        <v>21</v>
      </c>
      <c r="T1" t="s">
        <v>20</v>
      </c>
      <c r="U1" t="s">
        <v>14</v>
      </c>
      <c r="V1" t="s">
        <v>19</v>
      </c>
      <c r="W1" t="s">
        <v>18</v>
      </c>
      <c r="X1" t="s">
        <v>17</v>
      </c>
    </row>
    <row r="2" spans="1:25" x14ac:dyDescent="0.3">
      <c r="A2">
        <v>1</v>
      </c>
      <c r="B2">
        <v>1</v>
      </c>
      <c r="C2" s="12">
        <f t="shared" ref="C2:C33" si="0">B2*N2</f>
        <v>24350</v>
      </c>
      <c r="D2" s="33"/>
      <c r="E2" s="33"/>
      <c r="F2" s="33"/>
      <c r="G2" s="34"/>
      <c r="H2" s="34"/>
      <c r="I2" s="34"/>
      <c r="J2" s="34"/>
      <c r="K2" s="34"/>
      <c r="L2" s="34"/>
      <c r="M2" s="34"/>
      <c r="N2" s="35">
        <v>24350</v>
      </c>
      <c r="O2" s="33"/>
      <c r="P2" s="34"/>
      <c r="Q2" s="34"/>
      <c r="R2" s="34"/>
      <c r="S2" s="34"/>
      <c r="T2" s="34"/>
      <c r="U2" s="34"/>
      <c r="V2" s="34"/>
      <c r="W2" s="33"/>
      <c r="X2" s="33"/>
    </row>
    <row r="3" spans="1:25" x14ac:dyDescent="0.3">
      <c r="A3">
        <v>2</v>
      </c>
      <c r="B3">
        <v>1</v>
      </c>
      <c r="C3" s="12">
        <f t="shared" si="0"/>
        <v>24400</v>
      </c>
      <c r="D3" s="33"/>
      <c r="E3" s="33"/>
      <c r="F3" s="34"/>
      <c r="G3" s="34"/>
      <c r="H3" s="34"/>
      <c r="I3" s="34"/>
      <c r="J3" s="34"/>
      <c r="K3" s="34"/>
      <c r="L3" s="34"/>
      <c r="M3" s="34"/>
      <c r="N3" s="35">
        <v>24400</v>
      </c>
      <c r="O3" s="34"/>
      <c r="P3" s="34"/>
      <c r="Q3" s="34"/>
      <c r="R3" s="34"/>
      <c r="S3" s="34"/>
      <c r="T3" s="34"/>
      <c r="U3" s="34"/>
      <c r="V3" s="34"/>
      <c r="W3" s="33"/>
      <c r="X3" s="33"/>
    </row>
    <row r="4" spans="1:25" x14ac:dyDescent="0.3">
      <c r="A4">
        <v>3</v>
      </c>
      <c r="B4">
        <v>1</v>
      </c>
      <c r="C4" s="12">
        <f t="shared" si="0"/>
        <v>24450</v>
      </c>
      <c r="D4" s="33"/>
      <c r="E4" s="33"/>
      <c r="F4" s="34"/>
      <c r="G4" s="34"/>
      <c r="H4" s="34"/>
      <c r="I4" s="34"/>
      <c r="J4" s="34"/>
      <c r="K4" s="34"/>
      <c r="L4" s="34"/>
      <c r="M4" s="34"/>
      <c r="N4" s="35">
        <v>24450</v>
      </c>
      <c r="O4" s="34"/>
      <c r="P4" s="34"/>
      <c r="Q4" s="34"/>
      <c r="R4" s="34"/>
      <c r="S4" s="34"/>
      <c r="T4" s="34"/>
      <c r="U4" s="34"/>
      <c r="V4" s="34"/>
      <c r="W4" s="33"/>
      <c r="X4" s="33"/>
    </row>
    <row r="5" spans="1:25" x14ac:dyDescent="0.3">
      <c r="A5">
        <v>4</v>
      </c>
      <c r="B5">
        <v>1</v>
      </c>
      <c r="C5" s="12">
        <f t="shared" si="0"/>
        <v>24500</v>
      </c>
      <c r="D5" s="33"/>
      <c r="E5" s="33"/>
      <c r="F5" s="34"/>
      <c r="G5" s="34"/>
      <c r="H5" s="34"/>
      <c r="I5" s="34"/>
      <c r="J5" s="34"/>
      <c r="K5" s="34"/>
      <c r="L5" s="34"/>
      <c r="M5" s="34"/>
      <c r="N5" s="35">
        <v>24500</v>
      </c>
      <c r="O5" s="34"/>
      <c r="P5" s="34"/>
      <c r="Q5" s="34"/>
      <c r="R5" s="34"/>
      <c r="S5" s="34"/>
      <c r="T5" s="34"/>
      <c r="U5" s="34"/>
      <c r="V5" s="34"/>
      <c r="W5" s="33"/>
      <c r="X5" s="34"/>
    </row>
    <row r="6" spans="1:25" x14ac:dyDescent="0.3">
      <c r="A6">
        <v>5</v>
      </c>
      <c r="B6">
        <v>1</v>
      </c>
      <c r="C6" s="12">
        <f t="shared" si="0"/>
        <v>24550</v>
      </c>
      <c r="D6" s="33"/>
      <c r="E6" s="33"/>
      <c r="F6" s="34"/>
      <c r="G6" s="34"/>
      <c r="H6" s="34"/>
      <c r="I6" s="34"/>
      <c r="J6" s="34"/>
      <c r="K6" s="34"/>
      <c r="L6" s="34"/>
      <c r="M6" s="34"/>
      <c r="N6" s="35">
        <v>24550</v>
      </c>
      <c r="O6" s="34"/>
      <c r="P6" s="34"/>
      <c r="Q6" s="34"/>
      <c r="R6" s="34"/>
      <c r="S6" s="34"/>
      <c r="T6" s="34"/>
      <c r="U6" s="34"/>
      <c r="V6" s="34"/>
      <c r="W6" s="33"/>
      <c r="X6" s="33"/>
    </row>
    <row r="7" spans="1:25" x14ac:dyDescent="0.3">
      <c r="A7">
        <v>6</v>
      </c>
      <c r="B7">
        <v>1</v>
      </c>
      <c r="C7" s="12">
        <f t="shared" si="0"/>
        <v>24600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5">
        <v>24600</v>
      </c>
      <c r="O7" s="34"/>
      <c r="P7" s="34"/>
      <c r="Q7" s="34"/>
      <c r="R7" s="34"/>
      <c r="S7" s="34"/>
      <c r="T7" s="34"/>
      <c r="U7" s="34"/>
      <c r="V7" s="34"/>
      <c r="W7" s="33"/>
      <c r="X7" s="34"/>
    </row>
    <row r="8" spans="1:25" x14ac:dyDescent="0.3">
      <c r="A8">
        <v>7</v>
      </c>
      <c r="B8">
        <v>1</v>
      </c>
      <c r="C8" s="12">
        <f t="shared" si="0"/>
        <v>24650</v>
      </c>
      <c r="D8" s="33"/>
      <c r="E8" s="33"/>
      <c r="F8" s="34"/>
      <c r="G8" s="34"/>
      <c r="H8" s="34"/>
      <c r="I8" s="34"/>
      <c r="J8" s="33"/>
      <c r="K8" s="34"/>
      <c r="L8" s="34"/>
      <c r="M8" s="34"/>
      <c r="N8" s="35">
        <v>24650</v>
      </c>
      <c r="O8" s="34"/>
      <c r="P8" s="34"/>
      <c r="Q8" s="34"/>
      <c r="R8" s="34"/>
      <c r="S8" s="34"/>
      <c r="T8" s="34"/>
      <c r="U8" s="34"/>
      <c r="V8" s="34"/>
      <c r="W8" s="33"/>
      <c r="X8" s="33"/>
    </row>
    <row r="9" spans="1:25" x14ac:dyDescent="0.3">
      <c r="A9">
        <v>8</v>
      </c>
      <c r="B9">
        <v>1</v>
      </c>
      <c r="C9" s="12">
        <f t="shared" si="0"/>
        <v>24700</v>
      </c>
      <c r="D9" s="34"/>
      <c r="E9" s="33"/>
      <c r="F9" s="34"/>
      <c r="G9" s="34"/>
      <c r="H9" s="34"/>
      <c r="I9" s="34"/>
      <c r="J9" s="33"/>
      <c r="K9" s="34"/>
      <c r="L9" s="34"/>
      <c r="M9" s="33"/>
      <c r="N9" s="35">
        <v>24700</v>
      </c>
      <c r="O9" s="34"/>
      <c r="P9" s="34"/>
      <c r="Q9" s="34"/>
      <c r="R9" s="34"/>
      <c r="S9" s="34"/>
      <c r="T9" s="34"/>
      <c r="U9" s="34"/>
      <c r="V9" s="34"/>
      <c r="W9" s="33"/>
      <c r="X9" s="33"/>
    </row>
    <row r="10" spans="1:25" x14ac:dyDescent="0.3">
      <c r="A10">
        <v>9</v>
      </c>
      <c r="B10">
        <v>1</v>
      </c>
      <c r="C10" s="12">
        <f t="shared" si="0"/>
        <v>24750</v>
      </c>
      <c r="D10" s="33"/>
      <c r="E10" s="33"/>
      <c r="F10" s="34"/>
      <c r="G10" s="34"/>
      <c r="H10" s="34"/>
      <c r="I10" s="34"/>
      <c r="J10" s="34"/>
      <c r="K10" s="34"/>
      <c r="L10" s="34"/>
      <c r="M10" s="34"/>
      <c r="N10" s="35">
        <v>24750</v>
      </c>
      <c r="O10" s="34"/>
      <c r="P10" s="34"/>
      <c r="Q10" s="34"/>
      <c r="R10" s="34"/>
      <c r="S10" s="34"/>
      <c r="T10" s="34"/>
      <c r="U10" s="34"/>
      <c r="V10" s="34"/>
      <c r="W10" s="33"/>
      <c r="X10" s="33"/>
    </row>
    <row r="11" spans="1:25" x14ac:dyDescent="0.3">
      <c r="A11">
        <v>10</v>
      </c>
      <c r="B11">
        <v>1</v>
      </c>
      <c r="C11" s="12">
        <f t="shared" si="0"/>
        <v>24800</v>
      </c>
      <c r="D11" s="34"/>
      <c r="E11" s="34"/>
      <c r="F11" s="34"/>
      <c r="G11" s="34"/>
      <c r="H11" s="34"/>
      <c r="I11" s="34"/>
      <c r="J11" s="34"/>
      <c r="K11" s="34"/>
      <c r="L11" s="34"/>
      <c r="M11" s="33"/>
      <c r="N11" s="35">
        <v>24800</v>
      </c>
      <c r="O11" s="34"/>
      <c r="P11" s="34"/>
      <c r="Q11" s="34"/>
      <c r="R11" s="34"/>
      <c r="S11" s="34"/>
      <c r="T11" s="34"/>
      <c r="U11" s="34"/>
      <c r="V11" s="34"/>
      <c r="W11" s="33"/>
      <c r="X11" s="33"/>
    </row>
    <row r="12" spans="1:25" x14ac:dyDescent="0.3">
      <c r="A12">
        <v>11</v>
      </c>
      <c r="B12">
        <f t="shared" ref="B12:B43" si="1">B2+1</f>
        <v>2</v>
      </c>
      <c r="C12" s="12">
        <f t="shared" si="0"/>
        <v>48700</v>
      </c>
      <c r="D12" s="34">
        <v>15825</v>
      </c>
      <c r="E12" s="34">
        <v>-16163</v>
      </c>
      <c r="F12" s="34">
        <v>1345543</v>
      </c>
      <c r="G12" s="34">
        <v>0</v>
      </c>
      <c r="H12" s="34"/>
      <c r="I12" s="34"/>
      <c r="J12" s="34"/>
      <c r="K12" s="34"/>
      <c r="L12" s="34"/>
      <c r="M12" s="34"/>
      <c r="N12" s="34">
        <v>24350</v>
      </c>
      <c r="O12" s="34"/>
      <c r="P12" s="34"/>
      <c r="Q12" s="34"/>
      <c r="R12" s="34"/>
      <c r="S12" s="34"/>
      <c r="T12" s="34"/>
      <c r="U12" s="34">
        <v>7.12</v>
      </c>
      <c r="V12" s="34">
        <v>7462872</v>
      </c>
      <c r="W12" s="34">
        <v>89389</v>
      </c>
      <c r="X12" s="34">
        <v>121371</v>
      </c>
    </row>
    <row r="13" spans="1:25" x14ac:dyDescent="0.3">
      <c r="A13">
        <v>12</v>
      </c>
      <c r="B13">
        <f t="shared" si="1"/>
        <v>2</v>
      </c>
      <c r="C13" s="12">
        <f t="shared" si="0"/>
        <v>48800</v>
      </c>
      <c r="D13" s="34">
        <v>36079</v>
      </c>
      <c r="E13" s="34">
        <v>-44969</v>
      </c>
      <c r="F13" s="34">
        <v>4720580</v>
      </c>
      <c r="G13" s="34">
        <v>0</v>
      </c>
      <c r="H13" s="34"/>
      <c r="I13" s="34"/>
      <c r="J13" s="34"/>
      <c r="K13" s="34"/>
      <c r="L13" s="34"/>
      <c r="M13" s="34"/>
      <c r="N13" s="34">
        <v>24400</v>
      </c>
      <c r="O13" s="34"/>
      <c r="P13" s="34"/>
      <c r="Q13" s="34"/>
      <c r="R13" s="34"/>
      <c r="S13" s="34"/>
      <c r="T13" s="34"/>
      <c r="U13" s="34">
        <v>5.86</v>
      </c>
      <c r="V13" s="34">
        <v>15002804</v>
      </c>
      <c r="W13" s="34">
        <v>187195</v>
      </c>
      <c r="X13" s="34">
        <v>231646</v>
      </c>
      <c r="Y13" s="2"/>
    </row>
    <row r="14" spans="1:25" x14ac:dyDescent="0.3">
      <c r="A14">
        <v>13</v>
      </c>
      <c r="B14">
        <f t="shared" si="1"/>
        <v>2</v>
      </c>
      <c r="C14" s="12">
        <f t="shared" si="0"/>
        <v>48900</v>
      </c>
      <c r="D14" s="34">
        <v>48946</v>
      </c>
      <c r="E14" s="34">
        <v>801</v>
      </c>
      <c r="F14" s="34">
        <v>6870743</v>
      </c>
      <c r="G14" s="34">
        <v>0</v>
      </c>
      <c r="H14" s="34"/>
      <c r="I14" s="34"/>
      <c r="J14" s="34"/>
      <c r="K14" s="34"/>
      <c r="L14" s="34"/>
      <c r="M14" s="34"/>
      <c r="N14" s="34">
        <v>24450</v>
      </c>
      <c r="O14" s="34"/>
      <c r="P14" s="34"/>
      <c r="Q14" s="34"/>
      <c r="R14" s="34"/>
      <c r="S14" s="34"/>
      <c r="T14" s="34"/>
      <c r="U14" s="34">
        <v>4.6900000000000004</v>
      </c>
      <c r="V14" s="34">
        <v>17294893</v>
      </c>
      <c r="W14" s="34">
        <v>216164</v>
      </c>
      <c r="X14" s="34">
        <v>230107</v>
      </c>
    </row>
    <row r="15" spans="1:25" x14ac:dyDescent="0.3">
      <c r="A15">
        <v>14</v>
      </c>
      <c r="B15">
        <f t="shared" si="1"/>
        <v>2</v>
      </c>
      <c r="C15" s="12">
        <f t="shared" si="0"/>
        <v>49000</v>
      </c>
      <c r="D15" s="34">
        <v>133194</v>
      </c>
      <c r="E15" s="34">
        <v>23461</v>
      </c>
      <c r="F15" s="34">
        <v>20522877</v>
      </c>
      <c r="G15" s="34">
        <v>0</v>
      </c>
      <c r="H15" s="34"/>
      <c r="I15" s="34"/>
      <c r="J15" s="34"/>
      <c r="K15" s="34"/>
      <c r="L15" s="34"/>
      <c r="M15" s="34"/>
      <c r="N15" s="34">
        <v>24500</v>
      </c>
      <c r="O15" s="34"/>
      <c r="P15" s="34"/>
      <c r="Q15" s="34"/>
      <c r="R15" s="34"/>
      <c r="S15" s="34"/>
      <c r="T15" s="34"/>
      <c r="U15" s="34">
        <v>4.3600000000000003</v>
      </c>
      <c r="V15" s="34">
        <v>33135484</v>
      </c>
      <c r="W15" s="34">
        <v>435641</v>
      </c>
      <c r="X15" s="34">
        <v>462259</v>
      </c>
      <c r="Y15" s="2"/>
    </row>
    <row r="16" spans="1:25" x14ac:dyDescent="0.3">
      <c r="A16">
        <v>15</v>
      </c>
      <c r="B16">
        <f t="shared" si="1"/>
        <v>2</v>
      </c>
      <c r="C16" s="12">
        <f t="shared" si="0"/>
        <v>49100</v>
      </c>
      <c r="D16" s="34">
        <v>308880</v>
      </c>
      <c r="E16" s="34">
        <v>274161</v>
      </c>
      <c r="F16" s="34">
        <v>32034600</v>
      </c>
      <c r="G16" s="34">
        <v>1</v>
      </c>
      <c r="H16" s="34"/>
      <c r="I16" s="34"/>
      <c r="J16" s="34"/>
      <c r="K16" s="34"/>
      <c r="L16" s="34"/>
      <c r="M16" s="34"/>
      <c r="N16" s="34">
        <v>24550</v>
      </c>
      <c r="O16" s="34"/>
      <c r="P16" s="34"/>
      <c r="Q16" s="34"/>
      <c r="R16" s="34"/>
      <c r="S16" s="34"/>
      <c r="T16" s="34"/>
      <c r="U16" s="34">
        <v>4.59</v>
      </c>
      <c r="V16" s="34">
        <v>32346079</v>
      </c>
      <c r="W16" s="34">
        <v>745195</v>
      </c>
      <c r="X16" s="34">
        <v>747707</v>
      </c>
    </row>
    <row r="17" spans="1:25" x14ac:dyDescent="0.3">
      <c r="A17">
        <v>16</v>
      </c>
      <c r="B17">
        <f t="shared" si="1"/>
        <v>2</v>
      </c>
      <c r="C17" s="12">
        <f t="shared" si="0"/>
        <v>49200</v>
      </c>
      <c r="D17" s="34">
        <v>601666</v>
      </c>
      <c r="E17" s="34">
        <v>510348</v>
      </c>
      <c r="F17" s="34">
        <v>39461918</v>
      </c>
      <c r="G17" s="34">
        <v>3</v>
      </c>
      <c r="H17" s="34"/>
      <c r="I17" s="34"/>
      <c r="J17" s="34"/>
      <c r="K17" s="34"/>
      <c r="L17" s="34"/>
      <c r="M17" s="34"/>
      <c r="N17" s="34">
        <v>24600</v>
      </c>
      <c r="O17" s="34"/>
      <c r="P17" s="34"/>
      <c r="Q17" s="34"/>
      <c r="R17" s="34"/>
      <c r="S17" s="34"/>
      <c r="T17" s="34"/>
      <c r="U17" s="34">
        <v>6.49</v>
      </c>
      <c r="V17" s="34">
        <v>13308130</v>
      </c>
      <c r="W17" s="34">
        <v>254875</v>
      </c>
      <c r="X17" s="34">
        <v>259097</v>
      </c>
      <c r="Y17" s="2"/>
    </row>
    <row r="18" spans="1:25" x14ac:dyDescent="0.3">
      <c r="A18">
        <v>17</v>
      </c>
      <c r="B18">
        <f t="shared" si="1"/>
        <v>2</v>
      </c>
      <c r="C18" s="12">
        <f t="shared" si="0"/>
        <v>49300</v>
      </c>
      <c r="D18" s="34">
        <v>204169</v>
      </c>
      <c r="E18" s="34">
        <v>166368</v>
      </c>
      <c r="F18" s="34">
        <v>19092288</v>
      </c>
      <c r="G18" s="34">
        <v>4</v>
      </c>
      <c r="H18" s="34"/>
      <c r="I18" s="34"/>
      <c r="J18" s="34"/>
      <c r="K18" s="34"/>
      <c r="L18" s="34"/>
      <c r="M18" s="34"/>
      <c r="N18" s="34">
        <v>24650</v>
      </c>
      <c r="O18" s="34"/>
      <c r="P18" s="34"/>
      <c r="Q18" s="34"/>
      <c r="R18" s="34"/>
      <c r="S18" s="34"/>
      <c r="T18" s="34"/>
      <c r="U18" s="34">
        <v>9.3000000000000007</v>
      </c>
      <c r="V18" s="34">
        <v>2525480</v>
      </c>
      <c r="W18" s="34">
        <v>49897</v>
      </c>
      <c r="X18" s="34">
        <v>50775</v>
      </c>
      <c r="Y18" s="2"/>
    </row>
    <row r="19" spans="1:25" x14ac:dyDescent="0.3">
      <c r="A19">
        <v>18</v>
      </c>
      <c r="B19">
        <f t="shared" si="1"/>
        <v>2</v>
      </c>
      <c r="C19" s="12">
        <f t="shared" si="0"/>
        <v>49400</v>
      </c>
      <c r="D19" s="34">
        <v>186179</v>
      </c>
      <c r="E19" s="34">
        <v>121269</v>
      </c>
      <c r="F19" s="34">
        <v>11454703</v>
      </c>
      <c r="G19" s="34">
        <v>5</v>
      </c>
      <c r="H19" s="34"/>
      <c r="I19" s="34"/>
      <c r="J19" s="34"/>
      <c r="K19" s="34"/>
      <c r="L19" s="34"/>
      <c r="M19" s="34"/>
      <c r="N19" s="34">
        <v>24700</v>
      </c>
      <c r="O19" s="34"/>
      <c r="P19" s="34"/>
      <c r="Q19" s="34"/>
      <c r="R19" s="34"/>
      <c r="S19" s="34"/>
      <c r="T19" s="34"/>
      <c r="U19" s="34">
        <v>12.01</v>
      </c>
      <c r="V19" s="34">
        <v>1429013</v>
      </c>
      <c r="W19" s="34">
        <v>21668</v>
      </c>
      <c r="X19" s="34">
        <v>25535</v>
      </c>
      <c r="Y19" s="2"/>
    </row>
    <row r="20" spans="1:25" x14ac:dyDescent="0.3">
      <c r="A20">
        <v>19</v>
      </c>
      <c r="B20">
        <f t="shared" si="1"/>
        <v>2</v>
      </c>
      <c r="C20" s="12">
        <f t="shared" si="0"/>
        <v>49500</v>
      </c>
      <c r="D20" s="34">
        <v>117763</v>
      </c>
      <c r="E20" s="34">
        <v>82375</v>
      </c>
      <c r="F20" s="34">
        <v>5136366</v>
      </c>
      <c r="G20" s="34">
        <v>6</v>
      </c>
      <c r="H20" s="34"/>
      <c r="I20" s="34"/>
      <c r="J20" s="34"/>
      <c r="K20" s="34"/>
      <c r="L20" s="34"/>
      <c r="M20" s="34"/>
      <c r="N20" s="34">
        <v>24750</v>
      </c>
      <c r="O20" s="34"/>
      <c r="P20" s="34"/>
      <c r="Q20" s="34"/>
      <c r="R20" s="34"/>
      <c r="S20" s="34"/>
      <c r="T20" s="34"/>
      <c r="U20" s="34">
        <v>14.6</v>
      </c>
      <c r="V20" s="34">
        <v>299292</v>
      </c>
      <c r="W20" s="34">
        <v>5103</v>
      </c>
      <c r="X20" s="34">
        <v>5719</v>
      </c>
      <c r="Y20" s="2"/>
    </row>
    <row r="21" spans="1:25" x14ac:dyDescent="0.3">
      <c r="A21">
        <v>20</v>
      </c>
      <c r="B21">
        <f t="shared" si="1"/>
        <v>2</v>
      </c>
      <c r="C21" s="12">
        <f t="shared" si="0"/>
        <v>49600</v>
      </c>
      <c r="D21" s="34">
        <v>194539</v>
      </c>
      <c r="E21" s="34">
        <v>87458</v>
      </c>
      <c r="F21" s="34">
        <v>4155609</v>
      </c>
      <c r="G21" s="34">
        <v>7</v>
      </c>
      <c r="H21" s="34"/>
      <c r="I21" s="34"/>
      <c r="J21" s="34"/>
      <c r="K21" s="34"/>
      <c r="L21" s="34"/>
      <c r="M21" s="34"/>
      <c r="N21" s="34">
        <v>24800</v>
      </c>
      <c r="O21" s="34"/>
      <c r="P21" s="34"/>
      <c r="Q21" s="34"/>
      <c r="R21" s="34"/>
      <c r="S21" s="34"/>
      <c r="T21" s="34"/>
      <c r="U21" s="34">
        <v>16.899999999999999</v>
      </c>
      <c r="V21" s="34">
        <v>215868</v>
      </c>
      <c r="W21" s="34">
        <v>5207</v>
      </c>
      <c r="X21" s="34">
        <v>6615</v>
      </c>
      <c r="Y21" s="2"/>
    </row>
    <row r="22" spans="1:25" x14ac:dyDescent="0.3">
      <c r="A22">
        <v>21</v>
      </c>
      <c r="B22">
        <f t="shared" si="1"/>
        <v>3</v>
      </c>
      <c r="C22" s="12">
        <f t="shared" si="0"/>
        <v>73050</v>
      </c>
      <c r="D22" s="34">
        <v>16367</v>
      </c>
      <c r="E22" s="34">
        <v>-15621</v>
      </c>
      <c r="F22" s="34">
        <v>1340486</v>
      </c>
      <c r="G22" s="34">
        <v>0</v>
      </c>
      <c r="H22" s="34"/>
      <c r="I22" s="34"/>
      <c r="J22" s="34"/>
      <c r="K22" s="34"/>
      <c r="L22" s="34"/>
      <c r="M22" s="34"/>
      <c r="N22" s="34">
        <v>24350</v>
      </c>
      <c r="O22" s="34"/>
      <c r="P22" s="34"/>
      <c r="Q22" s="34"/>
      <c r="R22" s="34"/>
      <c r="S22" s="34"/>
      <c r="T22" s="34"/>
      <c r="U22" s="34">
        <v>7.12</v>
      </c>
      <c r="V22" s="34">
        <v>7414945</v>
      </c>
      <c r="W22" s="34">
        <v>90652</v>
      </c>
      <c r="X22" s="34">
        <v>122634</v>
      </c>
    </row>
    <row r="23" spans="1:25" x14ac:dyDescent="0.3">
      <c r="A23">
        <v>22</v>
      </c>
      <c r="B23">
        <f t="shared" si="1"/>
        <v>3</v>
      </c>
      <c r="C23" s="12">
        <f t="shared" si="0"/>
        <v>73200</v>
      </c>
      <c r="D23" s="34">
        <v>42008</v>
      </c>
      <c r="E23" s="34">
        <v>-39040</v>
      </c>
      <c r="F23" s="34">
        <v>4696028</v>
      </c>
      <c r="G23" s="34">
        <v>0</v>
      </c>
      <c r="H23" s="34"/>
      <c r="I23" s="34"/>
      <c r="J23" s="34"/>
      <c r="K23" s="34"/>
      <c r="L23" s="34"/>
      <c r="M23" s="34"/>
      <c r="N23" s="34">
        <v>24400</v>
      </c>
      <c r="O23" s="34"/>
      <c r="P23" s="34"/>
      <c r="Q23" s="34"/>
      <c r="R23" s="34"/>
      <c r="S23" s="34"/>
      <c r="T23" s="34"/>
      <c r="U23" s="34">
        <v>5.96</v>
      </c>
      <c r="V23" s="34">
        <v>14907266</v>
      </c>
      <c r="W23" s="34">
        <v>209193</v>
      </c>
      <c r="X23" s="34">
        <v>253644</v>
      </c>
    </row>
    <row r="24" spans="1:25" x14ac:dyDescent="0.3">
      <c r="A24">
        <v>23</v>
      </c>
      <c r="B24">
        <f t="shared" si="1"/>
        <v>3</v>
      </c>
      <c r="C24" s="12">
        <f t="shared" si="0"/>
        <v>73350</v>
      </c>
      <c r="D24" s="34">
        <v>56253</v>
      </c>
      <c r="E24" s="34">
        <v>8108</v>
      </c>
      <c r="F24" s="34">
        <v>6832310</v>
      </c>
      <c r="G24" s="34">
        <v>0</v>
      </c>
      <c r="H24" s="34"/>
      <c r="I24" s="34"/>
      <c r="J24" s="34"/>
      <c r="K24" s="34"/>
      <c r="L24" s="34"/>
      <c r="M24" s="34"/>
      <c r="N24" s="34">
        <v>24450</v>
      </c>
      <c r="O24" s="34"/>
      <c r="P24" s="34"/>
      <c r="Q24" s="34"/>
      <c r="R24" s="34"/>
      <c r="S24" s="34"/>
      <c r="T24" s="34"/>
      <c r="U24" s="34">
        <v>4.68</v>
      </c>
      <c r="V24" s="34">
        <v>17181273</v>
      </c>
      <c r="W24" s="34">
        <v>227516</v>
      </c>
      <c r="X24" s="34">
        <v>241459</v>
      </c>
    </row>
    <row r="25" spans="1:25" x14ac:dyDescent="0.3">
      <c r="A25">
        <v>24</v>
      </c>
      <c r="B25">
        <f t="shared" si="1"/>
        <v>3</v>
      </c>
      <c r="C25" s="12">
        <f t="shared" si="0"/>
        <v>73500</v>
      </c>
      <c r="D25" s="34">
        <v>150800</v>
      </c>
      <c r="E25" s="34">
        <v>41067</v>
      </c>
      <c r="F25" s="34">
        <v>20302080</v>
      </c>
      <c r="G25" s="34">
        <v>0</v>
      </c>
      <c r="H25" s="34"/>
      <c r="I25" s="34"/>
      <c r="J25" s="34"/>
      <c r="K25" s="34"/>
      <c r="L25" s="34"/>
      <c r="M25" s="34"/>
      <c r="N25" s="34">
        <v>24500</v>
      </c>
      <c r="O25" s="34"/>
      <c r="P25" s="34"/>
      <c r="Q25" s="34"/>
      <c r="R25" s="34"/>
      <c r="S25" s="34"/>
      <c r="T25" s="34"/>
      <c r="U25" s="34">
        <v>4.22</v>
      </c>
      <c r="V25" s="34">
        <v>32787100</v>
      </c>
      <c r="W25" s="34">
        <v>498347</v>
      </c>
      <c r="X25" s="34">
        <v>524965</v>
      </c>
    </row>
    <row r="26" spans="1:25" x14ac:dyDescent="0.3">
      <c r="A26">
        <v>25</v>
      </c>
      <c r="B26">
        <f t="shared" si="1"/>
        <v>3</v>
      </c>
      <c r="C26" s="12">
        <f t="shared" si="0"/>
        <v>73650</v>
      </c>
      <c r="D26" s="34">
        <v>358469</v>
      </c>
      <c r="E26" s="34">
        <v>323750</v>
      </c>
      <c r="F26" s="34">
        <v>30959971</v>
      </c>
      <c r="G26" s="34">
        <v>2</v>
      </c>
      <c r="H26" s="34"/>
      <c r="I26" s="34"/>
      <c r="J26" s="34"/>
      <c r="K26" s="34"/>
      <c r="L26" s="34"/>
      <c r="M26" s="34"/>
      <c r="N26" s="34">
        <v>24550</v>
      </c>
      <c r="O26" s="34"/>
      <c r="P26" s="34"/>
      <c r="Q26" s="34"/>
      <c r="R26" s="34"/>
      <c r="S26" s="34"/>
      <c r="T26" s="34"/>
      <c r="U26" s="34">
        <v>4.3899999999999997</v>
      </c>
      <c r="V26" s="34">
        <v>30059555</v>
      </c>
      <c r="W26" s="34">
        <v>746459</v>
      </c>
      <c r="X26" s="34">
        <v>748971</v>
      </c>
    </row>
    <row r="27" spans="1:25" x14ac:dyDescent="0.3">
      <c r="A27">
        <v>26</v>
      </c>
      <c r="B27">
        <f t="shared" si="1"/>
        <v>3</v>
      </c>
      <c r="C27" s="12">
        <f t="shared" si="0"/>
        <v>73800</v>
      </c>
      <c r="D27" s="34">
        <v>668912</v>
      </c>
      <c r="E27" s="34">
        <v>577594</v>
      </c>
      <c r="F27" s="34">
        <v>37917501</v>
      </c>
      <c r="G27" s="34">
        <v>3</v>
      </c>
      <c r="H27" s="34"/>
      <c r="I27" s="34"/>
      <c r="J27" s="34"/>
      <c r="K27" s="34"/>
      <c r="L27" s="34"/>
      <c r="M27" s="34"/>
      <c r="N27" s="34">
        <v>24600</v>
      </c>
      <c r="O27" s="34"/>
      <c r="P27" s="34"/>
      <c r="Q27" s="34"/>
      <c r="R27" s="34"/>
      <c r="S27" s="34"/>
      <c r="T27" s="34"/>
      <c r="U27" s="34">
        <v>5.96</v>
      </c>
      <c r="V27" s="34">
        <v>12477429</v>
      </c>
      <c r="W27" s="34">
        <v>280389</v>
      </c>
      <c r="X27" s="34">
        <v>284611</v>
      </c>
    </row>
    <row r="28" spans="1:25" x14ac:dyDescent="0.3">
      <c r="A28">
        <v>27</v>
      </c>
      <c r="B28">
        <f t="shared" si="1"/>
        <v>3</v>
      </c>
      <c r="C28" s="12">
        <f t="shared" si="0"/>
        <v>73950</v>
      </c>
      <c r="D28" s="34">
        <v>212540</v>
      </c>
      <c r="E28" s="34">
        <v>174739</v>
      </c>
      <c r="F28" s="34">
        <v>18893551</v>
      </c>
      <c r="G28" s="34">
        <v>4</v>
      </c>
      <c r="H28" s="34"/>
      <c r="I28" s="34"/>
      <c r="J28" s="34"/>
      <c r="K28" s="34"/>
      <c r="L28" s="34"/>
      <c r="M28" s="34"/>
      <c r="N28" s="34">
        <v>24650</v>
      </c>
      <c r="O28" s="34"/>
      <c r="P28" s="34"/>
      <c r="Q28" s="34"/>
      <c r="R28" s="34"/>
      <c r="S28" s="34"/>
      <c r="T28" s="34"/>
      <c r="U28" s="34">
        <v>8.7799999999999994</v>
      </c>
      <c r="V28" s="34">
        <v>2428449</v>
      </c>
      <c r="W28" s="34">
        <v>61288</v>
      </c>
      <c r="X28" s="34">
        <v>62166</v>
      </c>
    </row>
    <row r="29" spans="1:25" x14ac:dyDescent="0.3">
      <c r="A29">
        <v>28</v>
      </c>
      <c r="B29">
        <f t="shared" si="1"/>
        <v>3</v>
      </c>
      <c r="C29" s="12">
        <f t="shared" si="0"/>
        <v>74100</v>
      </c>
      <c r="D29" s="34">
        <v>202066</v>
      </c>
      <c r="E29" s="34">
        <v>137156</v>
      </c>
      <c r="F29" s="34">
        <v>11361010</v>
      </c>
      <c r="G29" s="34">
        <v>5</v>
      </c>
      <c r="H29" s="34"/>
      <c r="I29" s="34"/>
      <c r="J29" s="34"/>
      <c r="K29" s="34"/>
      <c r="L29" s="34"/>
      <c r="M29" s="34"/>
      <c r="N29" s="34">
        <v>24700</v>
      </c>
      <c r="O29" s="34"/>
      <c r="P29" s="34"/>
      <c r="Q29" s="34"/>
      <c r="R29" s="34"/>
      <c r="S29" s="34"/>
      <c r="T29" s="34"/>
      <c r="U29" s="34">
        <v>11.18</v>
      </c>
      <c r="V29" s="34">
        <v>1394439</v>
      </c>
      <c r="W29" s="34">
        <v>25639</v>
      </c>
      <c r="X29" s="34">
        <v>29506</v>
      </c>
    </row>
    <row r="30" spans="1:25" x14ac:dyDescent="0.3">
      <c r="A30">
        <v>29</v>
      </c>
      <c r="B30">
        <f t="shared" si="1"/>
        <v>3</v>
      </c>
      <c r="C30" s="12">
        <f t="shared" si="0"/>
        <v>74250</v>
      </c>
      <c r="D30" s="34">
        <v>122437</v>
      </c>
      <c r="E30" s="34">
        <v>87049</v>
      </c>
      <c r="F30" s="34">
        <v>5082464</v>
      </c>
      <c r="G30" s="34">
        <v>6</v>
      </c>
      <c r="H30" s="34"/>
      <c r="I30" s="34"/>
      <c r="J30" s="34"/>
      <c r="K30" s="34"/>
      <c r="L30" s="34"/>
      <c r="M30" s="34"/>
      <c r="N30" s="34">
        <v>24750</v>
      </c>
      <c r="O30" s="34"/>
      <c r="P30" s="34"/>
      <c r="Q30" s="34"/>
      <c r="R30" s="34"/>
      <c r="S30" s="34"/>
      <c r="T30" s="34"/>
      <c r="U30" s="34">
        <v>13.59</v>
      </c>
      <c r="V30" s="34">
        <v>291639</v>
      </c>
      <c r="W30" s="34">
        <v>5467</v>
      </c>
      <c r="X30" s="34">
        <v>6083</v>
      </c>
    </row>
    <row r="31" spans="1:25" x14ac:dyDescent="0.3">
      <c r="A31">
        <v>30</v>
      </c>
      <c r="B31">
        <f t="shared" si="1"/>
        <v>3</v>
      </c>
      <c r="C31" s="12">
        <f t="shared" si="0"/>
        <v>74400</v>
      </c>
      <c r="D31" s="34">
        <v>205407</v>
      </c>
      <c r="E31" s="34">
        <v>98326</v>
      </c>
      <c r="F31" s="34">
        <v>4093431</v>
      </c>
      <c r="G31" s="34">
        <v>7</v>
      </c>
      <c r="H31" s="34"/>
      <c r="I31" s="34"/>
      <c r="J31" s="34"/>
      <c r="K31" s="34"/>
      <c r="L31" s="34"/>
      <c r="M31" s="34"/>
      <c r="N31" s="34">
        <v>24800</v>
      </c>
      <c r="O31" s="34"/>
      <c r="P31" s="34"/>
      <c r="Q31" s="34"/>
      <c r="R31" s="34"/>
      <c r="S31" s="34"/>
      <c r="T31" s="34"/>
      <c r="U31" s="34">
        <v>15.75</v>
      </c>
      <c r="V31" s="34">
        <v>213184</v>
      </c>
      <c r="W31" s="34">
        <v>5673</v>
      </c>
      <c r="X31" s="34">
        <v>7081</v>
      </c>
    </row>
    <row r="32" spans="1:25" x14ac:dyDescent="0.3">
      <c r="A32">
        <v>31</v>
      </c>
      <c r="B32">
        <f t="shared" si="1"/>
        <v>4</v>
      </c>
      <c r="C32" s="12">
        <f t="shared" si="0"/>
        <v>97200</v>
      </c>
      <c r="D32" s="34">
        <v>22876</v>
      </c>
      <c r="E32" s="34">
        <v>-27947</v>
      </c>
      <c r="F32" s="34">
        <v>1223775</v>
      </c>
      <c r="G32" s="34">
        <v>0</v>
      </c>
      <c r="H32" s="34"/>
      <c r="I32" s="34"/>
      <c r="J32" s="34"/>
      <c r="K32" s="34"/>
      <c r="L32" s="34"/>
      <c r="M32" s="34"/>
      <c r="N32" s="34">
        <v>24300</v>
      </c>
      <c r="O32" s="34"/>
      <c r="P32" s="34"/>
      <c r="Q32" s="34"/>
      <c r="R32" s="34"/>
      <c r="S32" s="34"/>
      <c r="T32" s="34"/>
      <c r="U32" s="34">
        <v>8.57</v>
      </c>
      <c r="V32" s="34">
        <v>7220836</v>
      </c>
      <c r="W32" s="34">
        <v>93044</v>
      </c>
      <c r="X32" s="34">
        <v>181144</v>
      </c>
    </row>
    <row r="33" spans="1:24" x14ac:dyDescent="0.3">
      <c r="A33">
        <v>32</v>
      </c>
      <c r="B33">
        <f t="shared" si="1"/>
        <v>4</v>
      </c>
      <c r="C33" s="12">
        <f t="shared" si="0"/>
        <v>97400</v>
      </c>
      <c r="D33" s="34">
        <v>16367</v>
      </c>
      <c r="E33" s="34">
        <v>-15621</v>
      </c>
      <c r="F33" s="34">
        <v>1340486</v>
      </c>
      <c r="G33" s="34">
        <v>0</v>
      </c>
      <c r="H33" s="34"/>
      <c r="I33" s="34"/>
      <c r="J33" s="34"/>
      <c r="K33" s="34"/>
      <c r="L33" s="34"/>
      <c r="M33" s="34"/>
      <c r="N33" s="34">
        <v>24350</v>
      </c>
      <c r="O33" s="34"/>
      <c r="P33" s="34"/>
      <c r="Q33" s="34"/>
      <c r="R33" s="34"/>
      <c r="S33" s="34"/>
      <c r="T33" s="34"/>
      <c r="U33" s="34">
        <v>7.12</v>
      </c>
      <c r="V33" s="34">
        <v>7414945</v>
      </c>
      <c r="W33" s="34">
        <v>90652</v>
      </c>
      <c r="X33" s="34">
        <v>122634</v>
      </c>
    </row>
    <row r="34" spans="1:24" x14ac:dyDescent="0.3">
      <c r="A34">
        <v>33</v>
      </c>
      <c r="B34">
        <f t="shared" si="1"/>
        <v>4</v>
      </c>
      <c r="C34" s="12">
        <f t="shared" ref="C34:C65" si="2">B34*N34</f>
        <v>97600</v>
      </c>
      <c r="D34" s="34">
        <v>42008</v>
      </c>
      <c r="E34" s="34">
        <v>-39040</v>
      </c>
      <c r="F34" s="34">
        <v>4696028</v>
      </c>
      <c r="G34" s="34">
        <v>0</v>
      </c>
      <c r="H34" s="34"/>
      <c r="I34" s="34"/>
      <c r="J34" s="34"/>
      <c r="K34" s="34"/>
      <c r="L34" s="34"/>
      <c r="M34" s="34"/>
      <c r="N34" s="34">
        <v>24400</v>
      </c>
      <c r="O34" s="34"/>
      <c r="P34" s="34"/>
      <c r="Q34" s="34"/>
      <c r="R34" s="34"/>
      <c r="S34" s="34"/>
      <c r="T34" s="34"/>
      <c r="U34" s="34">
        <v>5.96</v>
      </c>
      <c r="V34" s="34">
        <v>14907266</v>
      </c>
      <c r="W34" s="34">
        <v>209193</v>
      </c>
      <c r="X34" s="34">
        <v>253644</v>
      </c>
    </row>
    <row r="35" spans="1:24" x14ac:dyDescent="0.3">
      <c r="A35">
        <v>34</v>
      </c>
      <c r="B35">
        <f t="shared" si="1"/>
        <v>4</v>
      </c>
      <c r="C35" s="12">
        <f t="shared" si="2"/>
        <v>97800</v>
      </c>
      <c r="D35" s="34">
        <v>56253</v>
      </c>
      <c r="E35" s="34">
        <v>8108</v>
      </c>
      <c r="F35" s="34">
        <v>6832310</v>
      </c>
      <c r="G35" s="34">
        <v>0</v>
      </c>
      <c r="H35" s="34"/>
      <c r="I35" s="34"/>
      <c r="J35" s="34"/>
      <c r="K35" s="34"/>
      <c r="L35" s="34"/>
      <c r="M35" s="34"/>
      <c r="N35" s="34">
        <v>24450</v>
      </c>
      <c r="O35" s="34"/>
      <c r="P35" s="34"/>
      <c r="Q35" s="34"/>
      <c r="R35" s="34"/>
      <c r="S35" s="34"/>
      <c r="T35" s="34"/>
      <c r="U35" s="34">
        <v>4.68</v>
      </c>
      <c r="V35" s="34">
        <v>17181273</v>
      </c>
      <c r="W35" s="34">
        <v>227516</v>
      </c>
      <c r="X35" s="34">
        <v>241459</v>
      </c>
    </row>
    <row r="36" spans="1:24" x14ac:dyDescent="0.3">
      <c r="A36">
        <v>35</v>
      </c>
      <c r="B36">
        <f t="shared" si="1"/>
        <v>4</v>
      </c>
      <c r="C36" s="12">
        <f t="shared" si="2"/>
        <v>98000</v>
      </c>
      <c r="D36" s="34">
        <v>150800</v>
      </c>
      <c r="E36" s="34">
        <v>41067</v>
      </c>
      <c r="F36" s="34">
        <v>20302080</v>
      </c>
      <c r="G36" s="34">
        <v>0</v>
      </c>
      <c r="H36" s="34"/>
      <c r="I36" s="34"/>
      <c r="J36" s="34"/>
      <c r="K36" s="34"/>
      <c r="L36" s="34"/>
      <c r="M36" s="34"/>
      <c r="N36" s="34">
        <v>24500</v>
      </c>
      <c r="O36" s="34"/>
      <c r="P36" s="34"/>
      <c r="Q36" s="34"/>
      <c r="R36" s="34"/>
      <c r="S36" s="34"/>
      <c r="T36" s="34"/>
      <c r="U36" s="34">
        <v>4.22</v>
      </c>
      <c r="V36" s="34">
        <v>32787100</v>
      </c>
      <c r="W36" s="34">
        <v>498347</v>
      </c>
      <c r="X36" s="34">
        <v>524965</v>
      </c>
    </row>
    <row r="37" spans="1:24" x14ac:dyDescent="0.3">
      <c r="A37">
        <v>36</v>
      </c>
      <c r="B37">
        <f t="shared" si="1"/>
        <v>4</v>
      </c>
      <c r="C37" s="12">
        <f t="shared" si="2"/>
        <v>98200</v>
      </c>
      <c r="D37" s="34">
        <v>358469</v>
      </c>
      <c r="E37" s="34">
        <v>323750</v>
      </c>
      <c r="F37" s="34">
        <v>30959971</v>
      </c>
      <c r="G37" s="34">
        <v>2</v>
      </c>
      <c r="H37" s="34"/>
      <c r="I37" s="34"/>
      <c r="J37" s="34"/>
      <c r="K37" s="34"/>
      <c r="L37" s="34"/>
      <c r="M37" s="34"/>
      <c r="N37" s="34">
        <v>24550</v>
      </c>
      <c r="O37" s="34"/>
      <c r="P37" s="34"/>
      <c r="Q37" s="34"/>
      <c r="R37" s="34"/>
      <c r="S37" s="34"/>
      <c r="T37" s="34"/>
      <c r="U37" s="34">
        <v>4.3899999999999997</v>
      </c>
      <c r="V37" s="34">
        <v>30059555</v>
      </c>
      <c r="W37" s="34">
        <v>746459</v>
      </c>
      <c r="X37" s="34">
        <v>748971</v>
      </c>
    </row>
    <row r="38" spans="1:24" x14ac:dyDescent="0.3">
      <c r="A38">
        <v>37</v>
      </c>
      <c r="B38">
        <f t="shared" si="1"/>
        <v>4</v>
      </c>
      <c r="C38" s="12">
        <f t="shared" si="2"/>
        <v>98400</v>
      </c>
      <c r="D38" s="34">
        <v>668912</v>
      </c>
      <c r="E38" s="34">
        <v>577594</v>
      </c>
      <c r="F38" s="34">
        <v>37917501</v>
      </c>
      <c r="G38" s="34">
        <v>3</v>
      </c>
      <c r="H38" s="34"/>
      <c r="I38" s="34"/>
      <c r="J38" s="34"/>
      <c r="K38" s="34"/>
      <c r="L38" s="34"/>
      <c r="M38" s="34"/>
      <c r="N38" s="34">
        <v>24600</v>
      </c>
      <c r="O38" s="34"/>
      <c r="P38" s="34"/>
      <c r="Q38" s="34"/>
      <c r="R38" s="34"/>
      <c r="S38" s="34"/>
      <c r="T38" s="34"/>
      <c r="U38" s="34">
        <v>5.96</v>
      </c>
      <c r="V38" s="34">
        <v>12477429</v>
      </c>
      <c r="W38" s="34">
        <v>280389</v>
      </c>
      <c r="X38" s="34">
        <v>284611</v>
      </c>
    </row>
    <row r="39" spans="1:24" x14ac:dyDescent="0.3">
      <c r="A39">
        <v>38</v>
      </c>
      <c r="B39">
        <f t="shared" si="1"/>
        <v>4</v>
      </c>
      <c r="C39" s="12">
        <f t="shared" si="2"/>
        <v>98600</v>
      </c>
      <c r="D39" s="34">
        <v>212540</v>
      </c>
      <c r="E39" s="34">
        <v>174739</v>
      </c>
      <c r="F39" s="34">
        <v>18893551</v>
      </c>
      <c r="G39" s="34">
        <v>4</v>
      </c>
      <c r="H39" s="34"/>
      <c r="I39" s="34"/>
      <c r="J39" s="34"/>
      <c r="K39" s="34"/>
      <c r="L39" s="34"/>
      <c r="M39" s="34"/>
      <c r="N39" s="34">
        <v>24650</v>
      </c>
      <c r="O39" s="34"/>
      <c r="P39" s="34"/>
      <c r="Q39" s="34"/>
      <c r="R39" s="34"/>
      <c r="S39" s="34"/>
      <c r="T39" s="34"/>
      <c r="U39" s="34">
        <v>8.7799999999999994</v>
      </c>
      <c r="V39" s="34">
        <v>2428449</v>
      </c>
      <c r="W39" s="34">
        <v>61288</v>
      </c>
      <c r="X39" s="34">
        <v>62166</v>
      </c>
    </row>
    <row r="40" spans="1:24" x14ac:dyDescent="0.3">
      <c r="A40">
        <v>39</v>
      </c>
      <c r="B40">
        <f t="shared" si="1"/>
        <v>4</v>
      </c>
      <c r="C40" s="12">
        <f t="shared" si="2"/>
        <v>98800</v>
      </c>
      <c r="D40" s="34">
        <v>202066</v>
      </c>
      <c r="E40" s="34">
        <v>137156</v>
      </c>
      <c r="F40" s="34">
        <v>11361010</v>
      </c>
      <c r="G40" s="34">
        <v>5</v>
      </c>
      <c r="H40" s="34"/>
      <c r="I40" s="34"/>
      <c r="J40" s="34"/>
      <c r="K40" s="34"/>
      <c r="L40" s="34"/>
      <c r="M40" s="34"/>
      <c r="N40" s="34">
        <v>24700</v>
      </c>
      <c r="O40" s="34"/>
      <c r="P40" s="34"/>
      <c r="Q40" s="34"/>
      <c r="R40" s="34"/>
      <c r="S40" s="34"/>
      <c r="T40" s="34"/>
      <c r="U40" s="34">
        <v>11.18</v>
      </c>
      <c r="V40" s="34">
        <v>1394439</v>
      </c>
      <c r="W40" s="34">
        <v>25639</v>
      </c>
      <c r="X40" s="34">
        <v>29506</v>
      </c>
    </row>
    <row r="41" spans="1:24" x14ac:dyDescent="0.3">
      <c r="A41">
        <v>40</v>
      </c>
      <c r="B41">
        <f t="shared" si="1"/>
        <v>4</v>
      </c>
      <c r="C41" s="12">
        <f t="shared" si="2"/>
        <v>99000</v>
      </c>
      <c r="D41" s="34">
        <v>122437</v>
      </c>
      <c r="E41" s="34">
        <v>87049</v>
      </c>
      <c r="F41" s="34">
        <v>5082464</v>
      </c>
      <c r="G41" s="34">
        <v>6</v>
      </c>
      <c r="H41" s="34"/>
      <c r="I41" s="34"/>
      <c r="J41" s="34"/>
      <c r="K41" s="34"/>
      <c r="L41" s="34"/>
      <c r="M41" s="34"/>
      <c r="N41" s="34">
        <v>24750</v>
      </c>
      <c r="O41" s="34"/>
      <c r="P41" s="34"/>
      <c r="Q41" s="34"/>
      <c r="R41" s="34"/>
      <c r="S41" s="34"/>
      <c r="T41" s="34"/>
      <c r="U41" s="34">
        <v>13.59</v>
      </c>
      <c r="V41" s="34">
        <v>291639</v>
      </c>
      <c r="W41" s="34">
        <v>5467</v>
      </c>
      <c r="X41" s="34">
        <v>6083</v>
      </c>
    </row>
    <row r="42" spans="1:24" x14ac:dyDescent="0.3">
      <c r="A42">
        <v>41</v>
      </c>
      <c r="B42">
        <f t="shared" si="1"/>
        <v>5</v>
      </c>
      <c r="C42" s="12">
        <f t="shared" si="2"/>
        <v>121500</v>
      </c>
      <c r="D42" s="34">
        <v>24347</v>
      </c>
      <c r="E42" s="34">
        <v>-26476</v>
      </c>
      <c r="F42" s="34">
        <v>1205587</v>
      </c>
      <c r="G42" s="34">
        <v>0</v>
      </c>
      <c r="H42" s="34"/>
      <c r="I42" s="34"/>
      <c r="J42" s="34"/>
      <c r="K42" s="34"/>
      <c r="L42" s="34"/>
      <c r="M42" s="34"/>
      <c r="N42" s="34">
        <v>24300</v>
      </c>
      <c r="O42" s="34"/>
      <c r="P42" s="34"/>
      <c r="Q42" s="34"/>
      <c r="R42" s="34"/>
      <c r="S42" s="34"/>
      <c r="T42" s="34"/>
      <c r="U42" s="34">
        <v>8.57</v>
      </c>
      <c r="V42" s="34">
        <v>7092652</v>
      </c>
      <c r="W42" s="34">
        <v>110794</v>
      </c>
      <c r="X42" s="34">
        <v>198894</v>
      </c>
    </row>
    <row r="43" spans="1:24" x14ac:dyDescent="0.3">
      <c r="A43">
        <v>42</v>
      </c>
      <c r="B43">
        <f t="shared" si="1"/>
        <v>5</v>
      </c>
      <c r="C43" s="12">
        <f t="shared" si="2"/>
        <v>121750</v>
      </c>
      <c r="D43" s="34">
        <v>17706</v>
      </c>
      <c r="E43" s="34">
        <v>-14282</v>
      </c>
      <c r="F43" s="34">
        <v>1323803</v>
      </c>
      <c r="G43" s="34">
        <v>0</v>
      </c>
      <c r="H43" s="34"/>
      <c r="I43" s="34"/>
      <c r="J43" s="34"/>
      <c r="K43" s="34"/>
      <c r="L43" s="34"/>
      <c r="M43" s="34"/>
      <c r="N43" s="34">
        <v>24350</v>
      </c>
      <c r="O43" s="34"/>
      <c r="P43" s="34"/>
      <c r="Q43" s="34"/>
      <c r="R43" s="34"/>
      <c r="S43" s="34"/>
      <c r="T43" s="34"/>
      <c r="U43" s="34">
        <v>7.12</v>
      </c>
      <c r="V43" s="34">
        <v>7345729</v>
      </c>
      <c r="W43" s="34">
        <v>110122</v>
      </c>
      <c r="X43" s="34">
        <v>142104</v>
      </c>
    </row>
    <row r="44" spans="1:24" x14ac:dyDescent="0.3">
      <c r="A44">
        <v>43</v>
      </c>
      <c r="B44">
        <f t="shared" ref="B44:B75" si="3">B34+1</f>
        <v>5</v>
      </c>
      <c r="C44" s="12">
        <f t="shared" si="2"/>
        <v>122000</v>
      </c>
      <c r="D44" s="34">
        <v>49609</v>
      </c>
      <c r="E44" s="34">
        <v>-31439</v>
      </c>
      <c r="F44" s="34">
        <v>4626617</v>
      </c>
      <c r="G44" s="34">
        <v>0</v>
      </c>
      <c r="H44" s="34"/>
      <c r="I44" s="34"/>
      <c r="J44" s="34"/>
      <c r="K44" s="34"/>
      <c r="L44" s="34"/>
      <c r="M44" s="34"/>
      <c r="N44" s="34">
        <v>24400</v>
      </c>
      <c r="O44" s="34"/>
      <c r="P44" s="34"/>
      <c r="Q44" s="34"/>
      <c r="R44" s="34"/>
      <c r="S44" s="34"/>
      <c r="T44" s="34"/>
      <c r="U44" s="34">
        <v>5.96</v>
      </c>
      <c r="V44" s="34">
        <v>14695307</v>
      </c>
      <c r="W44" s="34">
        <v>237437</v>
      </c>
      <c r="X44" s="34">
        <v>281888</v>
      </c>
    </row>
    <row r="45" spans="1:24" x14ac:dyDescent="0.3">
      <c r="A45">
        <v>44</v>
      </c>
      <c r="B45">
        <f t="shared" si="3"/>
        <v>5</v>
      </c>
      <c r="C45" s="12">
        <f t="shared" si="2"/>
        <v>122250</v>
      </c>
      <c r="D45" s="34">
        <v>64617</v>
      </c>
      <c r="E45" s="34">
        <v>16472</v>
      </c>
      <c r="F45" s="34">
        <v>6700783</v>
      </c>
      <c r="G45" s="34">
        <v>0</v>
      </c>
      <c r="H45" s="34"/>
      <c r="I45" s="34"/>
      <c r="J45" s="34"/>
      <c r="K45" s="34"/>
      <c r="L45" s="34"/>
      <c r="M45" s="34"/>
      <c r="N45" s="34">
        <v>24450</v>
      </c>
      <c r="O45" s="34"/>
      <c r="P45" s="34"/>
      <c r="Q45" s="34"/>
      <c r="R45" s="34"/>
      <c r="S45" s="34"/>
      <c r="T45" s="34"/>
      <c r="U45" s="34">
        <v>4.68</v>
      </c>
      <c r="V45" s="34">
        <v>16920215</v>
      </c>
      <c r="W45" s="34">
        <v>269025</v>
      </c>
      <c r="X45" s="34">
        <v>282968</v>
      </c>
    </row>
    <row r="46" spans="1:24" x14ac:dyDescent="0.3">
      <c r="A46">
        <v>45</v>
      </c>
      <c r="B46">
        <f t="shared" si="3"/>
        <v>5</v>
      </c>
      <c r="C46" s="12">
        <f t="shared" si="2"/>
        <v>122500</v>
      </c>
      <c r="D46" s="34">
        <v>216709</v>
      </c>
      <c r="E46" s="34">
        <v>106976</v>
      </c>
      <c r="F46" s="34">
        <v>19630905</v>
      </c>
      <c r="G46" s="34">
        <v>0</v>
      </c>
      <c r="H46" s="34"/>
      <c r="I46" s="34"/>
      <c r="J46" s="34"/>
      <c r="K46" s="34"/>
      <c r="L46" s="34"/>
      <c r="M46" s="34"/>
      <c r="N46" s="34">
        <v>24500</v>
      </c>
      <c r="O46" s="34"/>
      <c r="P46" s="34"/>
      <c r="Q46" s="34"/>
      <c r="R46" s="34"/>
      <c r="S46" s="34"/>
      <c r="T46" s="34"/>
      <c r="U46" s="34">
        <v>4.22</v>
      </c>
      <c r="V46" s="34">
        <v>31496530</v>
      </c>
      <c r="W46" s="34">
        <v>641115</v>
      </c>
      <c r="X46" s="34">
        <v>667733</v>
      </c>
    </row>
    <row r="47" spans="1:24" x14ac:dyDescent="0.3">
      <c r="A47">
        <v>46</v>
      </c>
      <c r="B47">
        <f t="shared" si="3"/>
        <v>5</v>
      </c>
      <c r="C47" s="12">
        <f t="shared" si="2"/>
        <v>122750</v>
      </c>
      <c r="D47" s="34">
        <v>446412</v>
      </c>
      <c r="E47" s="34">
        <v>411693</v>
      </c>
      <c r="F47" s="34">
        <v>28405703</v>
      </c>
      <c r="G47" s="34">
        <v>2</v>
      </c>
      <c r="H47" s="34"/>
      <c r="I47" s="34"/>
      <c r="J47" s="34"/>
      <c r="K47" s="34"/>
      <c r="L47" s="34"/>
      <c r="M47" s="34"/>
      <c r="N47" s="34">
        <v>24550</v>
      </c>
      <c r="O47" s="34"/>
      <c r="P47" s="34"/>
      <c r="Q47" s="34"/>
      <c r="R47" s="34"/>
      <c r="S47" s="34"/>
      <c r="T47" s="34"/>
      <c r="U47" s="34">
        <v>4.3899999999999997</v>
      </c>
      <c r="V47" s="34">
        <v>23879849</v>
      </c>
      <c r="W47" s="34">
        <v>625354</v>
      </c>
      <c r="X47" s="34">
        <v>627866</v>
      </c>
    </row>
    <row r="48" spans="1:24" x14ac:dyDescent="0.3">
      <c r="A48">
        <v>47</v>
      </c>
      <c r="B48">
        <f t="shared" si="3"/>
        <v>5</v>
      </c>
      <c r="C48" s="12">
        <f t="shared" si="2"/>
        <v>123000</v>
      </c>
      <c r="D48" s="34">
        <v>728052</v>
      </c>
      <c r="E48" s="34">
        <v>636734</v>
      </c>
      <c r="F48" s="34">
        <v>31876300</v>
      </c>
      <c r="G48" s="34">
        <v>3</v>
      </c>
      <c r="H48" s="34"/>
      <c r="I48" s="34"/>
      <c r="J48" s="34"/>
      <c r="K48" s="34"/>
      <c r="L48" s="34"/>
      <c r="M48" s="34"/>
      <c r="N48" s="34">
        <v>24600</v>
      </c>
      <c r="O48" s="34"/>
      <c r="P48" s="34"/>
      <c r="Q48" s="34"/>
      <c r="R48" s="34"/>
      <c r="S48" s="34"/>
      <c r="T48" s="34"/>
      <c r="U48" s="34">
        <v>5.96</v>
      </c>
      <c r="V48" s="34">
        <v>10234615</v>
      </c>
      <c r="W48" s="34">
        <v>228594</v>
      </c>
      <c r="X48" s="34">
        <v>232816</v>
      </c>
    </row>
    <row r="49" spans="1:24" x14ac:dyDescent="0.3">
      <c r="A49">
        <v>48</v>
      </c>
      <c r="B49">
        <f t="shared" si="3"/>
        <v>5</v>
      </c>
      <c r="C49" s="12">
        <f t="shared" si="2"/>
        <v>123250</v>
      </c>
      <c r="D49" s="34">
        <v>238094</v>
      </c>
      <c r="E49" s="34">
        <v>200293</v>
      </c>
      <c r="F49" s="34">
        <v>17866138</v>
      </c>
      <c r="G49" s="34">
        <v>4</v>
      </c>
      <c r="H49" s="34"/>
      <c r="I49" s="34"/>
      <c r="J49" s="34"/>
      <c r="K49" s="34"/>
      <c r="L49" s="34"/>
      <c r="M49" s="34"/>
      <c r="N49" s="34">
        <v>24650</v>
      </c>
      <c r="O49" s="34"/>
      <c r="P49" s="34"/>
      <c r="Q49" s="34"/>
      <c r="R49" s="34"/>
      <c r="S49" s="34"/>
      <c r="T49" s="34"/>
      <c r="U49" s="34">
        <v>8.7799999999999994</v>
      </c>
      <c r="V49" s="34">
        <v>2076092</v>
      </c>
      <c r="W49" s="34">
        <v>42604</v>
      </c>
      <c r="X49" s="34">
        <v>43482</v>
      </c>
    </row>
    <row r="50" spans="1:24" x14ac:dyDescent="0.3">
      <c r="A50">
        <v>49</v>
      </c>
      <c r="B50">
        <f t="shared" si="3"/>
        <v>5</v>
      </c>
      <c r="C50" s="12">
        <f t="shared" si="2"/>
        <v>123500</v>
      </c>
      <c r="D50" s="34">
        <v>214133</v>
      </c>
      <c r="E50" s="34">
        <v>149223</v>
      </c>
      <c r="F50" s="34">
        <v>11133522</v>
      </c>
      <c r="G50" s="34">
        <v>5</v>
      </c>
      <c r="H50" s="34"/>
      <c r="I50" s="34"/>
      <c r="J50" s="34"/>
      <c r="K50" s="34"/>
      <c r="L50" s="34"/>
      <c r="M50" s="34"/>
      <c r="N50" s="34">
        <v>24700</v>
      </c>
      <c r="O50" s="34"/>
      <c r="P50" s="34"/>
      <c r="Q50" s="34"/>
      <c r="R50" s="34"/>
      <c r="S50" s="34"/>
      <c r="T50" s="34"/>
      <c r="U50" s="34">
        <v>11.18</v>
      </c>
      <c r="V50" s="34">
        <v>1299427</v>
      </c>
      <c r="W50" s="34">
        <v>23570</v>
      </c>
      <c r="X50" s="34">
        <v>27437</v>
      </c>
    </row>
    <row r="51" spans="1:24" x14ac:dyDescent="0.3">
      <c r="A51">
        <v>50</v>
      </c>
      <c r="B51">
        <f t="shared" si="3"/>
        <v>5</v>
      </c>
      <c r="C51" s="12">
        <f t="shared" si="2"/>
        <v>123750</v>
      </c>
      <c r="D51" s="34">
        <v>117811</v>
      </c>
      <c r="E51" s="34">
        <v>82423</v>
      </c>
      <c r="F51" s="34">
        <v>4976256</v>
      </c>
      <c r="G51" s="34">
        <v>6</v>
      </c>
      <c r="H51" s="34"/>
      <c r="I51" s="34"/>
      <c r="J51" s="34"/>
      <c r="K51" s="34"/>
      <c r="L51" s="34"/>
      <c r="M51" s="34"/>
      <c r="N51" s="34">
        <v>24750</v>
      </c>
      <c r="O51" s="34"/>
      <c r="P51" s="34"/>
      <c r="Q51" s="34"/>
      <c r="R51" s="34"/>
      <c r="S51" s="34"/>
      <c r="T51" s="34"/>
      <c r="U51" s="34">
        <v>13.59</v>
      </c>
      <c r="V51" s="34">
        <v>271339</v>
      </c>
      <c r="W51" s="34">
        <v>4974</v>
      </c>
      <c r="X51" s="34">
        <v>5590</v>
      </c>
    </row>
    <row r="52" spans="1:24" x14ac:dyDescent="0.3">
      <c r="A52">
        <v>51</v>
      </c>
      <c r="B52">
        <f t="shared" si="3"/>
        <v>6</v>
      </c>
      <c r="C52" s="12">
        <f t="shared" si="2"/>
        <v>145800</v>
      </c>
      <c r="D52" s="34">
        <v>24490</v>
      </c>
      <c r="E52" s="34">
        <v>-26333</v>
      </c>
      <c r="F52" s="34">
        <v>1199552</v>
      </c>
      <c r="G52" s="34">
        <v>0</v>
      </c>
      <c r="H52" s="34"/>
      <c r="I52" s="34"/>
      <c r="J52" s="34"/>
      <c r="K52" s="34"/>
      <c r="L52" s="34"/>
      <c r="M52" s="34"/>
      <c r="N52" s="34">
        <v>24300</v>
      </c>
      <c r="O52" s="34"/>
      <c r="P52" s="34"/>
      <c r="Q52" s="34"/>
      <c r="R52" s="34"/>
      <c r="S52" s="34"/>
      <c r="T52" s="34"/>
      <c r="U52" s="34">
        <v>8.57</v>
      </c>
      <c r="V52" s="34">
        <v>7050860</v>
      </c>
      <c r="W52" s="34">
        <v>110503</v>
      </c>
      <c r="X52" s="34">
        <v>198603</v>
      </c>
    </row>
    <row r="53" spans="1:24" x14ac:dyDescent="0.3">
      <c r="A53">
        <v>52</v>
      </c>
      <c r="B53">
        <f t="shared" si="3"/>
        <v>6</v>
      </c>
      <c r="C53" s="12">
        <f t="shared" si="2"/>
        <v>146100</v>
      </c>
      <c r="D53" s="34">
        <v>17790</v>
      </c>
      <c r="E53" s="34">
        <v>-14198</v>
      </c>
      <c r="F53" s="34">
        <v>1317393</v>
      </c>
      <c r="G53" s="34">
        <v>0</v>
      </c>
      <c r="H53" s="34"/>
      <c r="I53" s="34"/>
      <c r="J53" s="34"/>
      <c r="K53" s="34"/>
      <c r="L53" s="34"/>
      <c r="M53" s="34"/>
      <c r="N53" s="34">
        <v>24350</v>
      </c>
      <c r="O53" s="34"/>
      <c r="P53" s="34"/>
      <c r="Q53" s="34"/>
      <c r="R53" s="34"/>
      <c r="S53" s="34"/>
      <c r="T53" s="34"/>
      <c r="U53" s="34">
        <v>7.12</v>
      </c>
      <c r="V53" s="34">
        <v>7297396</v>
      </c>
      <c r="W53" s="34">
        <v>122795</v>
      </c>
      <c r="X53" s="34">
        <v>154777</v>
      </c>
    </row>
    <row r="54" spans="1:24" x14ac:dyDescent="0.3">
      <c r="A54">
        <v>53</v>
      </c>
      <c r="B54">
        <f t="shared" si="3"/>
        <v>6</v>
      </c>
      <c r="C54" s="12">
        <f t="shared" si="2"/>
        <v>146400</v>
      </c>
      <c r="D54" s="34">
        <v>53068</v>
      </c>
      <c r="E54" s="34">
        <v>-27980</v>
      </c>
      <c r="F54" s="34">
        <v>4595262</v>
      </c>
      <c r="G54" s="34">
        <v>0</v>
      </c>
      <c r="H54" s="34"/>
      <c r="I54" s="34"/>
      <c r="J54" s="34"/>
      <c r="K54" s="34"/>
      <c r="L54" s="34"/>
      <c r="M54" s="34"/>
      <c r="N54" s="34">
        <v>24400</v>
      </c>
      <c r="O54" s="34"/>
      <c r="P54" s="34"/>
      <c r="Q54" s="34"/>
      <c r="R54" s="34"/>
      <c r="S54" s="34"/>
      <c r="T54" s="34"/>
      <c r="U54" s="34">
        <v>5.96</v>
      </c>
      <c r="V54" s="34">
        <v>14581432</v>
      </c>
      <c r="W54" s="34">
        <v>249340</v>
      </c>
      <c r="X54" s="34">
        <v>293791</v>
      </c>
    </row>
    <row r="55" spans="1:24" x14ac:dyDescent="0.3">
      <c r="A55">
        <v>54</v>
      </c>
      <c r="B55">
        <f t="shared" si="3"/>
        <v>6</v>
      </c>
      <c r="C55" s="12">
        <f t="shared" si="2"/>
        <v>146700</v>
      </c>
      <c r="D55" s="34">
        <v>68666</v>
      </c>
      <c r="E55" s="34">
        <v>20521</v>
      </c>
      <c r="F55" s="34">
        <v>6650107</v>
      </c>
      <c r="G55" s="34">
        <v>0</v>
      </c>
      <c r="H55" s="34"/>
      <c r="I55" s="34"/>
      <c r="J55" s="34"/>
      <c r="K55" s="34"/>
      <c r="L55" s="34"/>
      <c r="M55" s="34"/>
      <c r="N55" s="34">
        <v>24450</v>
      </c>
      <c r="O55" s="34"/>
      <c r="P55" s="34"/>
      <c r="Q55" s="34"/>
      <c r="R55" s="34"/>
      <c r="S55" s="34"/>
      <c r="T55" s="34"/>
      <c r="U55" s="34">
        <v>4.68</v>
      </c>
      <c r="V55" s="34">
        <v>16829103</v>
      </c>
      <c r="W55" s="34">
        <v>274112</v>
      </c>
      <c r="X55" s="34">
        <v>288055</v>
      </c>
    </row>
    <row r="56" spans="1:24" x14ac:dyDescent="0.3">
      <c r="A56">
        <v>55</v>
      </c>
      <c r="B56">
        <f t="shared" si="3"/>
        <v>6</v>
      </c>
      <c r="C56" s="12">
        <f t="shared" si="2"/>
        <v>147000</v>
      </c>
      <c r="D56" s="34">
        <v>241963</v>
      </c>
      <c r="E56" s="34">
        <v>132230</v>
      </c>
      <c r="F56" s="34">
        <v>19366400</v>
      </c>
      <c r="G56" s="34">
        <v>0</v>
      </c>
      <c r="H56" s="34"/>
      <c r="I56" s="34"/>
      <c r="J56" s="34"/>
      <c r="K56" s="34"/>
      <c r="L56" s="34"/>
      <c r="M56" s="34"/>
      <c r="N56" s="34">
        <v>24500</v>
      </c>
      <c r="O56" s="34"/>
      <c r="P56" s="34"/>
      <c r="Q56" s="34"/>
      <c r="R56" s="34"/>
      <c r="S56" s="34"/>
      <c r="T56" s="34"/>
      <c r="U56" s="34">
        <v>4.22</v>
      </c>
      <c r="V56" s="34">
        <v>30778907</v>
      </c>
      <c r="W56" s="34">
        <v>678847</v>
      </c>
      <c r="X56" s="34">
        <v>705465</v>
      </c>
    </row>
    <row r="57" spans="1:24" x14ac:dyDescent="0.3">
      <c r="A57">
        <v>56</v>
      </c>
      <c r="B57">
        <f t="shared" si="3"/>
        <v>6</v>
      </c>
      <c r="C57" s="12">
        <f t="shared" si="2"/>
        <v>147300</v>
      </c>
      <c r="D57" s="34">
        <v>475320</v>
      </c>
      <c r="E57" s="34">
        <v>440601</v>
      </c>
      <c r="F57" s="34">
        <v>27329149</v>
      </c>
      <c r="G57" s="34">
        <v>2</v>
      </c>
      <c r="H57" s="34"/>
      <c r="I57" s="34"/>
      <c r="J57" s="34"/>
      <c r="K57" s="34"/>
      <c r="L57" s="34"/>
      <c r="M57" s="34"/>
      <c r="N57" s="34">
        <v>24550</v>
      </c>
      <c r="O57" s="34"/>
      <c r="P57" s="34"/>
      <c r="Q57" s="34"/>
      <c r="R57" s="34"/>
      <c r="S57" s="34"/>
      <c r="T57" s="34"/>
      <c r="U57" s="34">
        <v>4.3899999999999997</v>
      </c>
      <c r="V57" s="34">
        <v>22481750</v>
      </c>
      <c r="W57" s="34">
        <v>564393</v>
      </c>
      <c r="X57" s="34">
        <v>566905</v>
      </c>
    </row>
    <row r="58" spans="1:24" x14ac:dyDescent="0.3">
      <c r="A58">
        <v>57</v>
      </c>
      <c r="B58">
        <f t="shared" si="3"/>
        <v>6</v>
      </c>
      <c r="C58" s="12">
        <f t="shared" si="2"/>
        <v>147600</v>
      </c>
      <c r="D58" s="34">
        <v>679016</v>
      </c>
      <c r="E58" s="34">
        <v>587698</v>
      </c>
      <c r="F58" s="34">
        <v>30299554</v>
      </c>
      <c r="G58" s="34">
        <v>3</v>
      </c>
      <c r="H58" s="34"/>
      <c r="I58" s="34"/>
      <c r="J58" s="34"/>
      <c r="K58" s="34"/>
      <c r="L58" s="34"/>
      <c r="M58" s="34"/>
      <c r="N58" s="34">
        <v>24600</v>
      </c>
      <c r="O58" s="34"/>
      <c r="P58" s="34"/>
      <c r="Q58" s="34"/>
      <c r="R58" s="34"/>
      <c r="S58" s="34"/>
      <c r="T58" s="34"/>
      <c r="U58" s="34">
        <v>5.96</v>
      </c>
      <c r="V58" s="34">
        <v>9800608</v>
      </c>
      <c r="W58" s="34">
        <v>195765</v>
      </c>
      <c r="X58" s="34">
        <v>199987</v>
      </c>
    </row>
    <row r="59" spans="1:24" x14ac:dyDescent="0.3">
      <c r="A59">
        <v>58</v>
      </c>
      <c r="B59">
        <f t="shared" si="3"/>
        <v>6</v>
      </c>
      <c r="C59" s="12">
        <f t="shared" si="2"/>
        <v>147900</v>
      </c>
      <c r="D59" s="34">
        <v>239190</v>
      </c>
      <c r="E59" s="34">
        <v>201389</v>
      </c>
      <c r="F59" s="34">
        <v>17673252</v>
      </c>
      <c r="G59" s="34">
        <v>4</v>
      </c>
      <c r="H59" s="34"/>
      <c r="I59" s="34"/>
      <c r="J59" s="34"/>
      <c r="K59" s="34"/>
      <c r="L59" s="34"/>
      <c r="M59" s="34"/>
      <c r="N59" s="34">
        <v>24650</v>
      </c>
      <c r="O59" s="34"/>
      <c r="P59" s="34"/>
      <c r="Q59" s="34"/>
      <c r="R59" s="34"/>
      <c r="S59" s="34"/>
      <c r="T59" s="34"/>
      <c r="U59" s="34">
        <v>8.7799999999999994</v>
      </c>
      <c r="V59" s="34">
        <v>2020942</v>
      </c>
      <c r="W59" s="34">
        <v>36524</v>
      </c>
      <c r="X59" s="34">
        <v>37402</v>
      </c>
    </row>
    <row r="60" spans="1:24" x14ac:dyDescent="0.3">
      <c r="A60">
        <v>59</v>
      </c>
      <c r="B60">
        <f t="shared" si="3"/>
        <v>6</v>
      </c>
      <c r="C60" s="12">
        <f t="shared" si="2"/>
        <v>148200</v>
      </c>
      <c r="D60" s="34">
        <v>216395</v>
      </c>
      <c r="E60" s="34">
        <v>151485</v>
      </c>
      <c r="F60" s="34">
        <v>11064529</v>
      </c>
      <c r="G60" s="34">
        <v>5</v>
      </c>
      <c r="H60" s="34"/>
      <c r="I60" s="34"/>
      <c r="J60" s="34"/>
      <c r="K60" s="34"/>
      <c r="L60" s="34"/>
      <c r="M60" s="34"/>
      <c r="N60" s="34">
        <v>24700</v>
      </c>
      <c r="O60" s="34"/>
      <c r="P60" s="34"/>
      <c r="Q60" s="34"/>
      <c r="R60" s="34"/>
      <c r="S60" s="34"/>
      <c r="T60" s="34"/>
      <c r="U60" s="34">
        <v>11.18</v>
      </c>
      <c r="V60" s="34">
        <v>1279710</v>
      </c>
      <c r="W60" s="34">
        <v>21801</v>
      </c>
      <c r="X60" s="34">
        <v>25668</v>
      </c>
    </row>
    <row r="61" spans="1:24" x14ac:dyDescent="0.3">
      <c r="A61">
        <v>60</v>
      </c>
      <c r="B61">
        <f t="shared" si="3"/>
        <v>6</v>
      </c>
      <c r="C61" s="12">
        <f t="shared" si="2"/>
        <v>148500</v>
      </c>
      <c r="D61" s="34">
        <v>122599</v>
      </c>
      <c r="E61" s="34">
        <v>87211</v>
      </c>
      <c r="F61" s="34">
        <v>4943614</v>
      </c>
      <c r="G61" s="34">
        <v>6</v>
      </c>
      <c r="H61" s="34"/>
      <c r="I61" s="34"/>
      <c r="J61" s="34"/>
      <c r="K61" s="34"/>
      <c r="L61" s="34"/>
      <c r="M61" s="34"/>
      <c r="N61" s="34">
        <v>24750</v>
      </c>
      <c r="O61" s="34"/>
      <c r="P61" s="34"/>
      <c r="Q61" s="34"/>
      <c r="R61" s="34"/>
      <c r="S61" s="34"/>
      <c r="T61" s="34"/>
      <c r="U61" s="34">
        <v>13.59</v>
      </c>
      <c r="V61" s="34">
        <v>267628</v>
      </c>
      <c r="W61" s="34">
        <v>4674</v>
      </c>
      <c r="X61" s="34">
        <v>5290</v>
      </c>
    </row>
    <row r="62" spans="1:24" x14ac:dyDescent="0.3">
      <c r="A62">
        <v>61</v>
      </c>
      <c r="B62">
        <f t="shared" si="3"/>
        <v>7</v>
      </c>
      <c r="C62" s="12">
        <f t="shared" si="2"/>
        <v>170100</v>
      </c>
      <c r="D62" s="34">
        <v>25231</v>
      </c>
      <c r="E62" s="34">
        <v>-25592</v>
      </c>
      <c r="F62" s="34">
        <v>1196594</v>
      </c>
      <c r="G62" s="34">
        <v>0</v>
      </c>
      <c r="H62" s="34"/>
      <c r="I62" s="34"/>
      <c r="J62" s="34"/>
      <c r="K62" s="34"/>
      <c r="L62" s="34"/>
      <c r="M62" s="34"/>
      <c r="N62" s="34">
        <v>24300</v>
      </c>
      <c r="O62" s="34"/>
      <c r="P62" s="34"/>
      <c r="Q62" s="34"/>
      <c r="R62" s="34"/>
      <c r="S62" s="34"/>
      <c r="T62" s="34"/>
      <c r="U62" s="34">
        <v>8.57</v>
      </c>
      <c r="V62" s="34">
        <v>7029989</v>
      </c>
      <c r="W62" s="34">
        <v>113016</v>
      </c>
      <c r="X62" s="34">
        <v>201116</v>
      </c>
    </row>
    <row r="63" spans="1:24" x14ac:dyDescent="0.3">
      <c r="A63">
        <v>62</v>
      </c>
      <c r="B63">
        <f t="shared" si="3"/>
        <v>7</v>
      </c>
      <c r="C63" s="12">
        <f t="shared" si="2"/>
        <v>170450</v>
      </c>
      <c r="D63" s="34">
        <v>18520</v>
      </c>
      <c r="E63" s="34">
        <v>-13468</v>
      </c>
      <c r="F63" s="34">
        <v>1314495</v>
      </c>
      <c r="G63" s="34">
        <v>0</v>
      </c>
      <c r="H63" s="34"/>
      <c r="I63" s="34"/>
      <c r="J63" s="34"/>
      <c r="K63" s="34"/>
      <c r="L63" s="34"/>
      <c r="M63" s="34"/>
      <c r="N63" s="34">
        <v>24350</v>
      </c>
      <c r="O63" s="34"/>
      <c r="P63" s="34"/>
      <c r="Q63" s="34"/>
      <c r="R63" s="34"/>
      <c r="S63" s="34"/>
      <c r="T63" s="34"/>
      <c r="U63" s="34">
        <v>7.12</v>
      </c>
      <c r="V63" s="34">
        <v>7278417</v>
      </c>
      <c r="W63" s="34">
        <v>126437</v>
      </c>
      <c r="X63" s="34">
        <v>158419</v>
      </c>
    </row>
    <row r="64" spans="1:24" x14ac:dyDescent="0.3">
      <c r="A64">
        <v>63</v>
      </c>
      <c r="B64">
        <f t="shared" si="3"/>
        <v>7</v>
      </c>
      <c r="C64" s="12">
        <f t="shared" si="2"/>
        <v>170800</v>
      </c>
      <c r="D64" s="34">
        <v>55375</v>
      </c>
      <c r="E64" s="34">
        <v>-25673</v>
      </c>
      <c r="F64" s="34">
        <v>4583178</v>
      </c>
      <c r="G64" s="34">
        <v>0</v>
      </c>
      <c r="H64" s="34"/>
      <c r="I64" s="34"/>
      <c r="J64" s="34"/>
      <c r="K64" s="34"/>
      <c r="L64" s="34"/>
      <c r="M64" s="34"/>
      <c r="N64" s="34">
        <v>24400</v>
      </c>
      <c r="O64" s="34"/>
      <c r="P64" s="34"/>
      <c r="Q64" s="34"/>
      <c r="R64" s="34"/>
      <c r="S64" s="34"/>
      <c r="T64" s="34"/>
      <c r="U64" s="34">
        <v>5.96</v>
      </c>
      <c r="V64" s="34">
        <v>14477198</v>
      </c>
      <c r="W64" s="34">
        <v>268954</v>
      </c>
      <c r="X64" s="34">
        <v>313405</v>
      </c>
    </row>
    <row r="65" spans="1:24" x14ac:dyDescent="0.3">
      <c r="A65">
        <v>64</v>
      </c>
      <c r="B65">
        <f t="shared" si="3"/>
        <v>7</v>
      </c>
      <c r="C65" s="12">
        <f t="shared" si="2"/>
        <v>171150</v>
      </c>
      <c r="D65" s="34">
        <v>75267</v>
      </c>
      <c r="E65" s="34">
        <v>27122</v>
      </c>
      <c r="F65" s="34">
        <v>6625106</v>
      </c>
      <c r="G65" s="34">
        <v>0</v>
      </c>
      <c r="H65" s="34"/>
      <c r="I65" s="34"/>
      <c r="J65" s="34"/>
      <c r="K65" s="34"/>
      <c r="L65" s="34"/>
      <c r="M65" s="34"/>
      <c r="N65" s="34">
        <v>24450</v>
      </c>
      <c r="O65" s="34"/>
      <c r="P65" s="34"/>
      <c r="Q65" s="34"/>
      <c r="R65" s="34"/>
      <c r="S65" s="34"/>
      <c r="T65" s="34"/>
      <c r="U65" s="34">
        <v>4.68</v>
      </c>
      <c r="V65" s="34">
        <v>16752659</v>
      </c>
      <c r="W65" s="34">
        <v>296945</v>
      </c>
      <c r="X65" s="34">
        <v>310888</v>
      </c>
    </row>
    <row r="66" spans="1:24" x14ac:dyDescent="0.3">
      <c r="A66">
        <v>65</v>
      </c>
      <c r="B66">
        <f t="shared" si="3"/>
        <v>7</v>
      </c>
      <c r="C66" s="12">
        <f t="shared" ref="C66:C97" si="4">B66*N66</f>
        <v>171500</v>
      </c>
      <c r="D66" s="34">
        <v>262802</v>
      </c>
      <c r="E66" s="34">
        <v>153069</v>
      </c>
      <c r="F66" s="34">
        <v>19237651</v>
      </c>
      <c r="G66" s="34">
        <v>0</v>
      </c>
      <c r="H66" s="34"/>
      <c r="I66" s="34"/>
      <c r="J66" s="34"/>
      <c r="K66" s="34"/>
      <c r="L66" s="34"/>
      <c r="M66" s="34"/>
      <c r="N66" s="34">
        <v>24500</v>
      </c>
      <c r="O66" s="34"/>
      <c r="P66" s="34"/>
      <c r="Q66" s="34"/>
      <c r="R66" s="34"/>
      <c r="S66" s="34"/>
      <c r="T66" s="34"/>
      <c r="U66" s="34">
        <v>4.22</v>
      </c>
      <c r="V66" s="34">
        <v>30187695</v>
      </c>
      <c r="W66" s="34">
        <v>764754</v>
      </c>
      <c r="X66" s="34">
        <v>791372</v>
      </c>
    </row>
    <row r="67" spans="1:24" x14ac:dyDescent="0.3">
      <c r="A67">
        <v>66</v>
      </c>
      <c r="B67">
        <f t="shared" si="3"/>
        <v>7</v>
      </c>
      <c r="C67" s="12">
        <f t="shared" si="4"/>
        <v>171850</v>
      </c>
      <c r="D67" s="34">
        <v>542442</v>
      </c>
      <c r="E67" s="34">
        <v>507723</v>
      </c>
      <c r="F67" s="34">
        <v>26781459</v>
      </c>
      <c r="G67" s="34">
        <v>2</v>
      </c>
      <c r="H67" s="34"/>
      <c r="I67" s="34"/>
      <c r="J67" s="34"/>
      <c r="K67" s="34"/>
      <c r="L67" s="34"/>
      <c r="M67" s="34"/>
      <c r="N67" s="34">
        <v>24550</v>
      </c>
      <c r="O67" s="34"/>
      <c r="P67" s="34"/>
      <c r="Q67" s="34"/>
      <c r="R67" s="34"/>
      <c r="S67" s="34"/>
      <c r="T67" s="34"/>
      <c r="U67" s="34">
        <v>4.3899999999999997</v>
      </c>
      <c r="V67" s="34">
        <v>21836062</v>
      </c>
      <c r="W67" s="34">
        <v>498174</v>
      </c>
      <c r="X67" s="34">
        <v>500686</v>
      </c>
    </row>
    <row r="68" spans="1:24" x14ac:dyDescent="0.3">
      <c r="A68">
        <v>67</v>
      </c>
      <c r="B68">
        <f t="shared" si="3"/>
        <v>7</v>
      </c>
      <c r="C68" s="12">
        <f t="shared" si="4"/>
        <v>172200</v>
      </c>
      <c r="D68" s="34">
        <v>643015</v>
      </c>
      <c r="E68" s="34">
        <v>551697</v>
      </c>
      <c r="F68" s="34">
        <v>29616732</v>
      </c>
      <c r="G68" s="34">
        <v>3</v>
      </c>
      <c r="H68" s="34"/>
      <c r="I68" s="34"/>
      <c r="J68" s="34"/>
      <c r="K68" s="34"/>
      <c r="L68" s="34"/>
      <c r="M68" s="34"/>
      <c r="N68" s="34">
        <v>24600</v>
      </c>
      <c r="O68" s="34"/>
      <c r="P68" s="34"/>
      <c r="Q68" s="34"/>
      <c r="R68" s="34"/>
      <c r="S68" s="34"/>
      <c r="T68" s="34"/>
      <c r="U68" s="34">
        <v>5.96</v>
      </c>
      <c r="V68" s="34">
        <v>9663012</v>
      </c>
      <c r="W68" s="34">
        <v>184252</v>
      </c>
      <c r="X68" s="34">
        <v>188474</v>
      </c>
    </row>
    <row r="69" spans="1:24" x14ac:dyDescent="0.3">
      <c r="A69">
        <v>68</v>
      </c>
      <c r="B69">
        <f t="shared" si="3"/>
        <v>7</v>
      </c>
      <c r="C69" s="12">
        <f t="shared" si="4"/>
        <v>172550</v>
      </c>
      <c r="D69" s="34">
        <v>242191</v>
      </c>
      <c r="E69" s="34">
        <v>204390</v>
      </c>
      <c r="F69" s="34">
        <v>17609885</v>
      </c>
      <c r="G69" s="34">
        <v>4</v>
      </c>
      <c r="H69" s="34"/>
      <c r="I69" s="34"/>
      <c r="J69" s="34"/>
      <c r="K69" s="34"/>
      <c r="L69" s="34"/>
      <c r="M69" s="34"/>
      <c r="N69" s="34">
        <v>24650</v>
      </c>
      <c r="O69" s="34"/>
      <c r="P69" s="34"/>
      <c r="Q69" s="34"/>
      <c r="R69" s="34"/>
      <c r="S69" s="34"/>
      <c r="T69" s="34"/>
      <c r="U69" s="34">
        <v>8.7799999999999994</v>
      </c>
      <c r="V69" s="34">
        <v>2001073</v>
      </c>
      <c r="W69" s="34">
        <v>33192</v>
      </c>
      <c r="X69" s="34">
        <v>34070</v>
      </c>
    </row>
    <row r="70" spans="1:24" x14ac:dyDescent="0.3">
      <c r="A70">
        <v>69</v>
      </c>
      <c r="B70">
        <f t="shared" si="3"/>
        <v>7</v>
      </c>
      <c r="C70" s="12">
        <f t="shared" si="4"/>
        <v>172900</v>
      </c>
      <c r="D70" s="34">
        <v>212925</v>
      </c>
      <c r="E70" s="34">
        <v>148015</v>
      </c>
      <c r="F70" s="34">
        <v>11015015</v>
      </c>
      <c r="G70" s="34">
        <v>5</v>
      </c>
      <c r="H70" s="34"/>
      <c r="I70" s="34"/>
      <c r="J70" s="34"/>
      <c r="K70" s="34"/>
      <c r="L70" s="34"/>
      <c r="M70" s="34"/>
      <c r="N70" s="34">
        <v>24700</v>
      </c>
      <c r="O70" s="34"/>
      <c r="P70" s="34"/>
      <c r="Q70" s="34"/>
      <c r="R70" s="34"/>
      <c r="S70" s="34"/>
      <c r="T70" s="34"/>
      <c r="U70" s="34">
        <v>11.18</v>
      </c>
      <c r="V70" s="34">
        <v>1271075</v>
      </c>
      <c r="W70" s="34">
        <v>20803</v>
      </c>
      <c r="X70" s="34">
        <v>24670</v>
      </c>
    </row>
    <row r="71" spans="1:24" x14ac:dyDescent="0.3">
      <c r="A71">
        <v>70</v>
      </c>
      <c r="B71">
        <f t="shared" si="3"/>
        <v>7</v>
      </c>
      <c r="C71" s="12">
        <f t="shared" si="4"/>
        <v>173250</v>
      </c>
      <c r="D71" s="34">
        <v>130184</v>
      </c>
      <c r="E71" s="34">
        <v>94796</v>
      </c>
      <c r="F71" s="34">
        <v>4931072</v>
      </c>
      <c r="G71" s="34">
        <v>6</v>
      </c>
      <c r="H71" s="34"/>
      <c r="I71" s="34"/>
      <c r="J71" s="34"/>
      <c r="K71" s="34"/>
      <c r="L71" s="34"/>
      <c r="M71" s="34"/>
      <c r="N71" s="34">
        <v>24750</v>
      </c>
      <c r="O71" s="34"/>
      <c r="P71" s="34"/>
      <c r="Q71" s="34"/>
      <c r="R71" s="34"/>
      <c r="S71" s="34"/>
      <c r="T71" s="34"/>
      <c r="U71" s="34">
        <v>13.59</v>
      </c>
      <c r="V71" s="34">
        <v>266256</v>
      </c>
      <c r="W71" s="34">
        <v>4423</v>
      </c>
      <c r="X71" s="34">
        <v>5039</v>
      </c>
    </row>
    <row r="72" spans="1:24" x14ac:dyDescent="0.3">
      <c r="A72">
        <v>71</v>
      </c>
      <c r="B72">
        <f t="shared" si="3"/>
        <v>8</v>
      </c>
      <c r="C72" s="12">
        <f t="shared" si="4"/>
        <v>194400</v>
      </c>
      <c r="D72" s="34">
        <v>25649</v>
      </c>
      <c r="E72" s="34">
        <v>-25174</v>
      </c>
      <c r="F72" s="34">
        <v>1187827</v>
      </c>
      <c r="G72" s="34">
        <v>0</v>
      </c>
      <c r="H72" s="34"/>
      <c r="I72" s="34"/>
      <c r="J72" s="34"/>
      <c r="K72" s="34"/>
      <c r="L72" s="34"/>
      <c r="M72" s="34"/>
      <c r="N72" s="34">
        <v>24300</v>
      </c>
      <c r="O72" s="34"/>
      <c r="P72" s="34"/>
      <c r="Q72" s="34"/>
      <c r="R72" s="34"/>
      <c r="S72" s="34"/>
      <c r="T72" s="34"/>
      <c r="U72" s="34">
        <v>8.58</v>
      </c>
      <c r="V72" s="34">
        <v>6994308</v>
      </c>
      <c r="W72" s="34">
        <v>116565</v>
      </c>
      <c r="X72" s="34">
        <v>204665</v>
      </c>
    </row>
    <row r="73" spans="1:24" x14ac:dyDescent="0.3">
      <c r="A73">
        <v>72</v>
      </c>
      <c r="B73">
        <f t="shared" si="3"/>
        <v>8</v>
      </c>
      <c r="C73" s="12">
        <f t="shared" si="4"/>
        <v>194800</v>
      </c>
      <c r="D73" s="34">
        <v>19042</v>
      </c>
      <c r="E73" s="34">
        <v>-12946</v>
      </c>
      <c r="F73" s="34">
        <v>1306741</v>
      </c>
      <c r="G73" s="34">
        <v>0</v>
      </c>
      <c r="H73" s="34"/>
      <c r="I73" s="34"/>
      <c r="J73" s="34"/>
      <c r="K73" s="34"/>
      <c r="L73" s="34"/>
      <c r="M73" s="34"/>
      <c r="N73" s="34">
        <v>24350</v>
      </c>
      <c r="O73" s="34"/>
      <c r="P73" s="34"/>
      <c r="Q73" s="34"/>
      <c r="R73" s="34"/>
      <c r="S73" s="34"/>
      <c r="T73" s="34"/>
      <c r="U73" s="34">
        <v>7.12</v>
      </c>
      <c r="V73" s="34">
        <v>7235086</v>
      </c>
      <c r="W73" s="34">
        <v>126040</v>
      </c>
      <c r="X73" s="34">
        <v>158022</v>
      </c>
    </row>
    <row r="74" spans="1:24" x14ac:dyDescent="0.3">
      <c r="A74">
        <v>73</v>
      </c>
      <c r="B74">
        <f t="shared" si="3"/>
        <v>8</v>
      </c>
      <c r="C74" s="12">
        <f t="shared" si="4"/>
        <v>195200</v>
      </c>
      <c r="D74" s="34">
        <v>58912</v>
      </c>
      <c r="E74" s="34">
        <v>-22136</v>
      </c>
      <c r="F74" s="34">
        <v>4546081</v>
      </c>
      <c r="G74" s="34">
        <v>0</v>
      </c>
      <c r="H74" s="34"/>
      <c r="I74" s="34"/>
      <c r="J74" s="34"/>
      <c r="K74" s="34"/>
      <c r="L74" s="34"/>
      <c r="M74" s="34"/>
      <c r="N74" s="34">
        <v>24400</v>
      </c>
      <c r="O74" s="34"/>
      <c r="P74" s="34"/>
      <c r="Q74" s="34"/>
      <c r="R74" s="34"/>
      <c r="S74" s="34"/>
      <c r="T74" s="34"/>
      <c r="U74" s="34">
        <v>5.86</v>
      </c>
      <c r="V74" s="34">
        <v>14351575</v>
      </c>
      <c r="W74" s="34">
        <v>274329</v>
      </c>
      <c r="X74" s="34">
        <v>318780</v>
      </c>
    </row>
    <row r="75" spans="1:24" x14ac:dyDescent="0.3">
      <c r="A75">
        <v>74</v>
      </c>
      <c r="B75">
        <f t="shared" si="3"/>
        <v>8</v>
      </c>
      <c r="C75" s="12">
        <f t="shared" si="4"/>
        <v>195600</v>
      </c>
      <c r="D75" s="34">
        <v>80438</v>
      </c>
      <c r="E75" s="34">
        <v>32293</v>
      </c>
      <c r="F75" s="34">
        <v>6559009</v>
      </c>
      <c r="G75" s="34">
        <v>0</v>
      </c>
      <c r="H75" s="34"/>
      <c r="I75" s="34"/>
      <c r="J75" s="34"/>
      <c r="K75" s="34"/>
      <c r="L75" s="34"/>
      <c r="M75" s="34"/>
      <c r="N75" s="34">
        <v>24450</v>
      </c>
      <c r="O75" s="34"/>
      <c r="P75" s="34"/>
      <c r="Q75" s="34"/>
      <c r="R75" s="34"/>
      <c r="S75" s="34"/>
      <c r="T75" s="34"/>
      <c r="U75" s="34">
        <v>4.6900000000000004</v>
      </c>
      <c r="V75" s="34">
        <v>16485366</v>
      </c>
      <c r="W75" s="34">
        <v>313618</v>
      </c>
      <c r="X75" s="34">
        <v>327561</v>
      </c>
    </row>
    <row r="76" spans="1:24" x14ac:dyDescent="0.3">
      <c r="A76">
        <v>75</v>
      </c>
      <c r="B76">
        <f t="shared" ref="B76:B107" si="5">B66+1</f>
        <v>8</v>
      </c>
      <c r="C76" s="12">
        <f t="shared" si="4"/>
        <v>196000</v>
      </c>
      <c r="D76" s="34">
        <v>293245</v>
      </c>
      <c r="E76" s="34">
        <v>183512</v>
      </c>
      <c r="F76" s="34">
        <v>18872506</v>
      </c>
      <c r="G76" s="34">
        <v>0</v>
      </c>
      <c r="H76" s="34"/>
      <c r="I76" s="34"/>
      <c r="J76" s="34"/>
      <c r="K76" s="34"/>
      <c r="L76" s="34"/>
      <c r="M76" s="34"/>
      <c r="N76" s="34">
        <v>24500</v>
      </c>
      <c r="O76" s="34"/>
      <c r="P76" s="34"/>
      <c r="Q76" s="34"/>
      <c r="R76" s="34"/>
      <c r="S76" s="34"/>
      <c r="T76" s="34"/>
      <c r="U76" s="34">
        <v>4.3600000000000003</v>
      </c>
      <c r="V76" s="34">
        <v>29052975</v>
      </c>
      <c r="W76" s="34">
        <v>777764</v>
      </c>
      <c r="X76" s="34">
        <v>804382</v>
      </c>
    </row>
    <row r="77" spans="1:24" x14ac:dyDescent="0.3">
      <c r="A77">
        <v>76</v>
      </c>
      <c r="B77">
        <f t="shared" si="5"/>
        <v>8</v>
      </c>
      <c r="C77" s="12">
        <f t="shared" si="4"/>
        <v>196400</v>
      </c>
      <c r="D77" s="34">
        <v>587918</v>
      </c>
      <c r="E77" s="34">
        <v>553199</v>
      </c>
      <c r="F77" s="34">
        <v>25590644</v>
      </c>
      <c r="G77" s="34">
        <v>1</v>
      </c>
      <c r="H77" s="34"/>
      <c r="I77" s="34"/>
      <c r="J77" s="34"/>
      <c r="K77" s="34"/>
      <c r="L77" s="34"/>
      <c r="M77" s="34"/>
      <c r="N77" s="34">
        <v>24550</v>
      </c>
      <c r="O77" s="34"/>
      <c r="P77" s="34"/>
      <c r="Q77" s="34"/>
      <c r="R77" s="34"/>
      <c r="S77" s="34"/>
      <c r="T77" s="34"/>
      <c r="U77" s="34">
        <v>4.59</v>
      </c>
      <c r="V77" s="34">
        <v>20625511</v>
      </c>
      <c r="W77" s="34">
        <v>438380</v>
      </c>
      <c r="X77" s="34">
        <v>440892</v>
      </c>
    </row>
    <row r="78" spans="1:24" x14ac:dyDescent="0.3">
      <c r="A78">
        <v>77</v>
      </c>
      <c r="B78">
        <f t="shared" si="5"/>
        <v>8</v>
      </c>
      <c r="C78" s="12">
        <f t="shared" si="4"/>
        <v>196800</v>
      </c>
      <c r="D78" s="34">
        <v>626241</v>
      </c>
      <c r="E78" s="34">
        <v>534923</v>
      </c>
      <c r="F78" s="34">
        <v>28527910</v>
      </c>
      <c r="G78" s="34">
        <v>3</v>
      </c>
      <c r="H78" s="34"/>
      <c r="I78" s="34"/>
      <c r="J78" s="34"/>
      <c r="K78" s="34"/>
      <c r="L78" s="34"/>
      <c r="M78" s="34"/>
      <c r="N78" s="34">
        <v>24600</v>
      </c>
      <c r="O78" s="34"/>
      <c r="P78" s="34"/>
      <c r="Q78" s="34"/>
      <c r="R78" s="34"/>
      <c r="S78" s="34"/>
      <c r="T78" s="34"/>
      <c r="U78" s="34">
        <v>6.49</v>
      </c>
      <c r="V78" s="34">
        <v>9361306</v>
      </c>
      <c r="W78" s="34">
        <v>180329</v>
      </c>
      <c r="X78" s="34">
        <v>184551</v>
      </c>
    </row>
    <row r="79" spans="1:24" x14ac:dyDescent="0.3">
      <c r="A79">
        <v>78</v>
      </c>
      <c r="B79">
        <f t="shared" si="5"/>
        <v>8</v>
      </c>
      <c r="C79" s="12">
        <f t="shared" si="4"/>
        <v>197200</v>
      </c>
      <c r="D79" s="34">
        <v>256135</v>
      </c>
      <c r="E79" s="34">
        <v>218334</v>
      </c>
      <c r="F79" s="34">
        <v>17407732</v>
      </c>
      <c r="G79" s="34">
        <v>4</v>
      </c>
      <c r="H79" s="34"/>
      <c r="I79" s="34"/>
      <c r="J79" s="34"/>
      <c r="K79" s="34"/>
      <c r="L79" s="34"/>
      <c r="M79" s="34"/>
      <c r="N79" s="34">
        <v>24650</v>
      </c>
      <c r="O79" s="34"/>
      <c r="P79" s="34"/>
      <c r="Q79" s="34"/>
      <c r="R79" s="34"/>
      <c r="S79" s="34"/>
      <c r="T79" s="34"/>
      <c r="U79" s="34">
        <v>9.3000000000000007</v>
      </c>
      <c r="V79" s="34">
        <v>1957415</v>
      </c>
      <c r="W79" s="34">
        <v>30908</v>
      </c>
      <c r="X79" s="34">
        <v>31786</v>
      </c>
    </row>
    <row r="80" spans="1:24" x14ac:dyDescent="0.3">
      <c r="A80">
        <v>79</v>
      </c>
      <c r="B80">
        <f t="shared" si="5"/>
        <v>8</v>
      </c>
      <c r="C80" s="12">
        <f t="shared" si="4"/>
        <v>197600</v>
      </c>
      <c r="D80" s="34">
        <v>213125</v>
      </c>
      <c r="E80" s="34">
        <v>148215</v>
      </c>
      <c r="F80" s="34">
        <v>10973768</v>
      </c>
      <c r="G80" s="34">
        <v>5</v>
      </c>
      <c r="H80" s="34"/>
      <c r="I80" s="34"/>
      <c r="J80" s="34"/>
      <c r="K80" s="34"/>
      <c r="L80" s="34"/>
      <c r="M80" s="34"/>
      <c r="N80" s="34">
        <v>24700</v>
      </c>
      <c r="O80" s="34"/>
      <c r="P80" s="34"/>
      <c r="Q80" s="34"/>
      <c r="R80" s="34"/>
      <c r="S80" s="34"/>
      <c r="T80" s="34"/>
      <c r="U80" s="34">
        <v>12.01</v>
      </c>
      <c r="V80" s="34">
        <v>1252921</v>
      </c>
      <c r="W80" s="34">
        <v>20458</v>
      </c>
      <c r="X80" s="34">
        <v>24325</v>
      </c>
    </row>
    <row r="81" spans="1:24" x14ac:dyDescent="0.3">
      <c r="A81">
        <v>80</v>
      </c>
      <c r="B81">
        <f t="shared" si="5"/>
        <v>8</v>
      </c>
      <c r="C81" s="12">
        <f t="shared" si="4"/>
        <v>198000</v>
      </c>
      <c r="D81" s="34">
        <v>129187</v>
      </c>
      <c r="E81" s="34">
        <v>93799</v>
      </c>
      <c r="F81" s="34">
        <v>4900478</v>
      </c>
      <c r="G81" s="34">
        <v>6</v>
      </c>
      <c r="H81" s="34"/>
      <c r="I81" s="34"/>
      <c r="J81" s="34"/>
      <c r="K81" s="34"/>
      <c r="L81" s="34"/>
      <c r="M81" s="34"/>
      <c r="N81" s="34">
        <v>24750</v>
      </c>
      <c r="O81" s="34"/>
      <c r="P81" s="34"/>
      <c r="Q81" s="34"/>
      <c r="R81" s="34"/>
      <c r="S81" s="34"/>
      <c r="T81" s="34"/>
      <c r="U81" s="34">
        <v>14.6</v>
      </c>
      <c r="V81" s="34">
        <v>261533</v>
      </c>
      <c r="W81" s="34">
        <v>4591</v>
      </c>
      <c r="X81" s="34">
        <v>5207</v>
      </c>
    </row>
    <row r="82" spans="1:24" x14ac:dyDescent="0.3">
      <c r="A82">
        <v>81</v>
      </c>
      <c r="B82">
        <f t="shared" si="5"/>
        <v>9</v>
      </c>
      <c r="C82" s="12">
        <f t="shared" si="4"/>
        <v>218700</v>
      </c>
      <c r="D82" s="34">
        <v>26309</v>
      </c>
      <c r="E82" s="34">
        <v>-24514</v>
      </c>
      <c r="F82" s="34">
        <v>1172501</v>
      </c>
      <c r="G82" s="34">
        <v>0</v>
      </c>
      <c r="H82" s="34"/>
      <c r="I82" s="34"/>
      <c r="J82" s="34"/>
      <c r="K82" s="34"/>
      <c r="L82" s="34"/>
      <c r="M82" s="34"/>
      <c r="N82" s="34">
        <v>24300</v>
      </c>
      <c r="O82" s="34"/>
      <c r="P82" s="34"/>
      <c r="Q82" s="34"/>
      <c r="R82" s="34"/>
      <c r="S82" s="34"/>
      <c r="T82" s="34"/>
      <c r="U82" s="34">
        <v>8.57</v>
      </c>
      <c r="V82" s="34">
        <v>6916015</v>
      </c>
      <c r="W82" s="34">
        <v>131901</v>
      </c>
      <c r="X82" s="34">
        <v>220001</v>
      </c>
    </row>
    <row r="83" spans="1:24" x14ac:dyDescent="0.3">
      <c r="A83">
        <v>82</v>
      </c>
      <c r="B83">
        <f t="shared" si="5"/>
        <v>9</v>
      </c>
      <c r="C83" s="12">
        <f t="shared" si="4"/>
        <v>219150</v>
      </c>
      <c r="D83" s="34">
        <v>18984</v>
      </c>
      <c r="E83" s="34">
        <v>-13004</v>
      </c>
      <c r="F83" s="34">
        <v>1290848</v>
      </c>
      <c r="G83" s="34">
        <v>0</v>
      </c>
      <c r="H83" s="34"/>
      <c r="I83" s="34"/>
      <c r="J83" s="34"/>
      <c r="K83" s="34"/>
      <c r="L83" s="34"/>
      <c r="M83" s="34"/>
      <c r="N83" s="34">
        <v>24350</v>
      </c>
      <c r="O83" s="34"/>
      <c r="P83" s="34"/>
      <c r="Q83" s="34"/>
      <c r="R83" s="34"/>
      <c r="S83" s="34"/>
      <c r="T83" s="34"/>
      <c r="U83" s="34">
        <v>7.12</v>
      </c>
      <c r="V83" s="34">
        <v>7125968</v>
      </c>
      <c r="W83" s="34">
        <v>125457</v>
      </c>
      <c r="X83" s="34">
        <v>157439</v>
      </c>
    </row>
    <row r="84" spans="1:24" x14ac:dyDescent="0.3">
      <c r="A84">
        <v>83</v>
      </c>
      <c r="B84">
        <f t="shared" si="5"/>
        <v>9</v>
      </c>
      <c r="C84" s="12">
        <f t="shared" si="4"/>
        <v>219600</v>
      </c>
      <c r="D84" s="34">
        <v>57646</v>
      </c>
      <c r="E84" s="34">
        <v>-23402</v>
      </c>
      <c r="F84" s="34">
        <v>4477718</v>
      </c>
      <c r="G84" s="34">
        <v>0</v>
      </c>
      <c r="H84" s="34"/>
      <c r="I84" s="34"/>
      <c r="J84" s="34"/>
      <c r="K84" s="34"/>
      <c r="L84" s="34"/>
      <c r="M84" s="34"/>
      <c r="N84" s="34">
        <v>24400</v>
      </c>
      <c r="O84" s="34"/>
      <c r="P84" s="34"/>
      <c r="Q84" s="34"/>
      <c r="R84" s="34"/>
      <c r="S84" s="34"/>
      <c r="T84" s="34"/>
      <c r="U84" s="34">
        <v>5.96</v>
      </c>
      <c r="V84" s="34">
        <v>14035350</v>
      </c>
      <c r="W84" s="34">
        <v>287326</v>
      </c>
      <c r="X84" s="34">
        <v>331777</v>
      </c>
    </row>
    <row r="85" spans="1:24" x14ac:dyDescent="0.3">
      <c r="A85">
        <v>84</v>
      </c>
      <c r="B85">
        <f t="shared" si="5"/>
        <v>9</v>
      </c>
      <c r="C85" s="12">
        <f t="shared" si="4"/>
        <v>220050</v>
      </c>
      <c r="D85" s="34">
        <v>72937</v>
      </c>
      <c r="E85" s="34">
        <v>24792</v>
      </c>
      <c r="F85" s="34">
        <v>6417102</v>
      </c>
      <c r="G85" s="34">
        <v>0</v>
      </c>
      <c r="H85" s="34"/>
      <c r="I85" s="34"/>
      <c r="J85" s="34"/>
      <c r="K85" s="34"/>
      <c r="L85" s="34"/>
      <c r="M85" s="34"/>
      <c r="N85" s="34">
        <v>24450</v>
      </c>
      <c r="O85" s="34"/>
      <c r="P85" s="34"/>
      <c r="Q85" s="34"/>
      <c r="R85" s="34"/>
      <c r="S85" s="34"/>
      <c r="T85" s="34"/>
      <c r="U85" s="34">
        <v>4.68</v>
      </c>
      <c r="V85" s="34">
        <v>15409894</v>
      </c>
      <c r="W85" s="34">
        <v>303306</v>
      </c>
      <c r="X85" s="34">
        <v>317249</v>
      </c>
    </row>
    <row r="86" spans="1:24" x14ac:dyDescent="0.3">
      <c r="A86">
        <v>85</v>
      </c>
      <c r="B86">
        <f t="shared" si="5"/>
        <v>9</v>
      </c>
      <c r="C86" s="12">
        <f t="shared" si="4"/>
        <v>220500</v>
      </c>
      <c r="D86" s="34">
        <v>244114</v>
      </c>
      <c r="E86" s="34">
        <v>134381</v>
      </c>
      <c r="F86" s="34">
        <v>18116335</v>
      </c>
      <c r="G86" s="34">
        <v>0</v>
      </c>
      <c r="H86" s="34"/>
      <c r="I86" s="34"/>
      <c r="J86" s="34"/>
      <c r="K86" s="34"/>
      <c r="L86" s="34"/>
      <c r="M86" s="34"/>
      <c r="N86" s="34">
        <v>24500</v>
      </c>
      <c r="O86" s="34"/>
      <c r="P86" s="34"/>
      <c r="Q86" s="34"/>
      <c r="R86" s="34"/>
      <c r="S86" s="34"/>
      <c r="T86" s="34"/>
      <c r="U86" s="34">
        <v>4.22</v>
      </c>
      <c r="V86" s="34">
        <v>26878188</v>
      </c>
      <c r="W86" s="34">
        <v>825739</v>
      </c>
      <c r="X86" s="34">
        <v>852357</v>
      </c>
    </row>
    <row r="87" spans="1:24" x14ac:dyDescent="0.3">
      <c r="A87">
        <v>86</v>
      </c>
      <c r="B87">
        <f t="shared" si="5"/>
        <v>9</v>
      </c>
      <c r="C87" s="12">
        <f t="shared" si="4"/>
        <v>220950</v>
      </c>
      <c r="D87" s="34">
        <v>475720</v>
      </c>
      <c r="E87" s="34">
        <v>441001</v>
      </c>
      <c r="F87" s="34">
        <v>23565867</v>
      </c>
      <c r="G87" s="34">
        <v>2</v>
      </c>
      <c r="H87" s="34"/>
      <c r="I87" s="34"/>
      <c r="J87" s="34"/>
      <c r="K87" s="34"/>
      <c r="L87" s="34"/>
      <c r="M87" s="34"/>
      <c r="N87" s="34">
        <v>24550</v>
      </c>
      <c r="O87" s="34"/>
      <c r="P87" s="34"/>
      <c r="Q87" s="34"/>
      <c r="R87" s="34"/>
      <c r="S87" s="34"/>
      <c r="T87" s="34"/>
      <c r="U87" s="34">
        <v>4.3899999999999997</v>
      </c>
      <c r="V87" s="34">
        <v>18799135</v>
      </c>
      <c r="W87" s="34">
        <v>553400</v>
      </c>
      <c r="X87" s="34">
        <v>555912</v>
      </c>
    </row>
    <row r="88" spans="1:24" x14ac:dyDescent="0.3">
      <c r="A88">
        <v>87</v>
      </c>
      <c r="B88">
        <f t="shared" si="5"/>
        <v>9</v>
      </c>
      <c r="C88" s="12">
        <f t="shared" si="4"/>
        <v>221400</v>
      </c>
      <c r="D88" s="34">
        <v>719538</v>
      </c>
      <c r="E88" s="34">
        <v>628220</v>
      </c>
      <c r="F88" s="34">
        <v>26939718</v>
      </c>
      <c r="G88" s="34">
        <v>3</v>
      </c>
      <c r="H88" s="34"/>
      <c r="I88" s="34"/>
      <c r="J88" s="34"/>
      <c r="K88" s="34"/>
      <c r="L88" s="34"/>
      <c r="M88" s="34"/>
      <c r="N88" s="34">
        <v>24600</v>
      </c>
      <c r="O88" s="34"/>
      <c r="P88" s="34"/>
      <c r="Q88" s="34"/>
      <c r="R88" s="34"/>
      <c r="S88" s="34"/>
      <c r="T88" s="34"/>
      <c r="U88" s="34">
        <v>5.96</v>
      </c>
      <c r="V88" s="34">
        <v>8835058</v>
      </c>
      <c r="W88" s="34">
        <v>217490</v>
      </c>
      <c r="X88" s="34">
        <v>221712</v>
      </c>
    </row>
    <row r="89" spans="1:24" x14ac:dyDescent="0.3">
      <c r="A89">
        <v>88</v>
      </c>
      <c r="B89">
        <f t="shared" si="5"/>
        <v>9</v>
      </c>
      <c r="C89" s="12">
        <f t="shared" si="4"/>
        <v>221850</v>
      </c>
      <c r="D89" s="34">
        <v>264983</v>
      </c>
      <c r="E89" s="34">
        <v>227182</v>
      </c>
      <c r="F89" s="34">
        <v>16905913</v>
      </c>
      <c r="G89" s="34">
        <v>4</v>
      </c>
      <c r="H89" s="34"/>
      <c r="I89" s="34"/>
      <c r="J89" s="34"/>
      <c r="K89" s="34"/>
      <c r="L89" s="34"/>
      <c r="M89" s="34"/>
      <c r="N89" s="34">
        <v>24650</v>
      </c>
      <c r="O89" s="34"/>
      <c r="P89" s="34"/>
      <c r="Q89" s="34"/>
      <c r="R89" s="34"/>
      <c r="S89" s="34"/>
      <c r="T89" s="34"/>
      <c r="U89" s="34">
        <v>8.7799999999999994</v>
      </c>
      <c r="V89" s="34">
        <v>1868378</v>
      </c>
      <c r="W89" s="34">
        <v>39858</v>
      </c>
      <c r="X89" s="34">
        <v>40736</v>
      </c>
    </row>
    <row r="90" spans="1:24" x14ac:dyDescent="0.3">
      <c r="A90">
        <v>89</v>
      </c>
      <c r="B90">
        <f t="shared" si="5"/>
        <v>9</v>
      </c>
      <c r="C90" s="12">
        <f t="shared" si="4"/>
        <v>222300</v>
      </c>
      <c r="D90" s="34">
        <v>226964</v>
      </c>
      <c r="E90" s="34">
        <v>162054</v>
      </c>
      <c r="F90" s="34">
        <v>10859784</v>
      </c>
      <c r="G90" s="34">
        <v>5</v>
      </c>
      <c r="H90" s="34"/>
      <c r="I90" s="34"/>
      <c r="J90" s="34"/>
      <c r="K90" s="34"/>
      <c r="L90" s="34"/>
      <c r="M90" s="34"/>
      <c r="N90" s="34">
        <v>24700</v>
      </c>
      <c r="O90" s="34"/>
      <c r="P90" s="34"/>
      <c r="Q90" s="34"/>
      <c r="R90" s="34"/>
      <c r="S90" s="34"/>
      <c r="T90" s="34"/>
      <c r="U90" s="34">
        <v>11.18</v>
      </c>
      <c r="V90" s="34">
        <v>1203770</v>
      </c>
      <c r="W90" s="34">
        <v>25942</v>
      </c>
      <c r="X90" s="34">
        <v>29809</v>
      </c>
    </row>
    <row r="91" spans="1:24" x14ac:dyDescent="0.3">
      <c r="A91">
        <v>90</v>
      </c>
      <c r="B91">
        <f t="shared" si="5"/>
        <v>9</v>
      </c>
      <c r="C91" s="12">
        <f t="shared" si="4"/>
        <v>222750</v>
      </c>
      <c r="D91" s="34">
        <v>132684</v>
      </c>
      <c r="E91" s="34">
        <v>97296</v>
      </c>
      <c r="F91" s="34">
        <v>4845554</v>
      </c>
      <c r="G91" s="34">
        <v>6</v>
      </c>
      <c r="H91" s="34"/>
      <c r="I91" s="34"/>
      <c r="J91" s="34"/>
      <c r="K91" s="34"/>
      <c r="L91" s="34"/>
      <c r="M91" s="34"/>
      <c r="N91" s="34">
        <v>24750</v>
      </c>
      <c r="O91" s="34"/>
      <c r="P91" s="34"/>
      <c r="Q91" s="34"/>
      <c r="R91" s="34"/>
      <c r="S91" s="34"/>
      <c r="T91" s="34"/>
      <c r="U91" s="34">
        <v>13.59</v>
      </c>
      <c r="V91" s="34">
        <v>249646</v>
      </c>
      <c r="W91" s="34">
        <v>4974</v>
      </c>
      <c r="X91" s="34">
        <v>5590</v>
      </c>
    </row>
    <row r="92" spans="1:24" x14ac:dyDescent="0.3">
      <c r="A92">
        <v>91</v>
      </c>
      <c r="B92">
        <f t="shared" si="5"/>
        <v>10</v>
      </c>
      <c r="C92" s="12">
        <f t="shared" si="4"/>
        <v>243000</v>
      </c>
      <c r="D92" s="34">
        <v>26398</v>
      </c>
      <c r="E92" s="34">
        <v>-24425</v>
      </c>
      <c r="F92" s="34">
        <v>1169159</v>
      </c>
      <c r="G92" s="34">
        <v>0</v>
      </c>
      <c r="H92" s="34"/>
      <c r="I92" s="34"/>
      <c r="J92" s="34"/>
      <c r="K92" s="34"/>
      <c r="L92" s="34"/>
      <c r="M92" s="34"/>
      <c r="N92" s="34">
        <v>24300</v>
      </c>
      <c r="O92" s="34"/>
      <c r="P92" s="34"/>
      <c r="Q92" s="34"/>
      <c r="R92" s="34"/>
      <c r="S92" s="34"/>
      <c r="T92" s="34"/>
      <c r="U92" s="34">
        <v>9.64</v>
      </c>
      <c r="V92" s="34">
        <v>6899589</v>
      </c>
      <c r="W92" s="34">
        <v>134381</v>
      </c>
      <c r="X92" s="34">
        <v>222481</v>
      </c>
    </row>
    <row r="93" spans="1:24" x14ac:dyDescent="0.3">
      <c r="A93">
        <v>92</v>
      </c>
      <c r="B93">
        <f t="shared" si="5"/>
        <v>10</v>
      </c>
      <c r="C93" s="12">
        <f t="shared" si="4"/>
        <v>243500</v>
      </c>
      <c r="D93" s="34">
        <v>18891</v>
      </c>
      <c r="E93" s="34">
        <v>-13097</v>
      </c>
      <c r="F93" s="34">
        <v>1287273</v>
      </c>
      <c r="G93" s="34">
        <v>0</v>
      </c>
      <c r="H93" s="34"/>
      <c r="I93" s="34"/>
      <c r="J93" s="34"/>
      <c r="K93" s="34"/>
      <c r="L93" s="34"/>
      <c r="M93" s="34"/>
      <c r="N93" s="34">
        <v>24350</v>
      </c>
      <c r="O93" s="34"/>
      <c r="P93" s="34"/>
      <c r="Q93" s="34"/>
      <c r="R93" s="34"/>
      <c r="S93" s="34"/>
      <c r="T93" s="34"/>
      <c r="U93" s="34">
        <v>8.1199999999999992</v>
      </c>
      <c r="V93" s="34">
        <v>7074522</v>
      </c>
      <c r="W93" s="34">
        <v>127563</v>
      </c>
      <c r="X93" s="34">
        <v>159545</v>
      </c>
    </row>
    <row r="94" spans="1:24" x14ac:dyDescent="0.3">
      <c r="A94">
        <v>93</v>
      </c>
      <c r="B94">
        <f t="shared" si="5"/>
        <v>10</v>
      </c>
      <c r="C94" s="12">
        <f t="shared" si="4"/>
        <v>244000</v>
      </c>
      <c r="D94" s="34">
        <v>57548</v>
      </c>
      <c r="E94" s="34">
        <v>-23500</v>
      </c>
      <c r="F94" s="34">
        <v>4461369</v>
      </c>
      <c r="G94" s="34">
        <v>0</v>
      </c>
      <c r="H94" s="34"/>
      <c r="I94" s="34"/>
      <c r="J94" s="34"/>
      <c r="K94" s="34"/>
      <c r="L94" s="34"/>
      <c r="M94" s="34"/>
      <c r="N94" s="34">
        <v>24400</v>
      </c>
      <c r="O94" s="34"/>
      <c r="P94" s="34"/>
      <c r="Q94" s="34"/>
      <c r="R94" s="34"/>
      <c r="S94" s="34"/>
      <c r="T94" s="34"/>
      <c r="U94" s="34">
        <v>6.82</v>
      </c>
      <c r="V94" s="34">
        <v>13977050</v>
      </c>
      <c r="W94" s="34">
        <v>298725</v>
      </c>
      <c r="X94" s="34">
        <v>343176</v>
      </c>
    </row>
    <row r="95" spans="1:24" x14ac:dyDescent="0.3">
      <c r="A95">
        <v>94</v>
      </c>
      <c r="B95">
        <f t="shared" si="5"/>
        <v>10</v>
      </c>
      <c r="C95" s="12">
        <f t="shared" si="4"/>
        <v>244500</v>
      </c>
      <c r="D95" s="34">
        <v>73978</v>
      </c>
      <c r="E95" s="34">
        <v>25833</v>
      </c>
      <c r="F95" s="34">
        <v>6381024</v>
      </c>
      <c r="G95" s="34">
        <v>0</v>
      </c>
      <c r="H95" s="34"/>
      <c r="I95" s="34"/>
      <c r="J95" s="34"/>
      <c r="K95" s="34"/>
      <c r="L95" s="34"/>
      <c r="M95" s="34"/>
      <c r="N95" s="34">
        <v>24450</v>
      </c>
      <c r="O95" s="34"/>
      <c r="P95" s="34"/>
      <c r="Q95" s="34"/>
      <c r="R95" s="34"/>
      <c r="S95" s="34"/>
      <c r="T95" s="34"/>
      <c r="U95" s="34">
        <v>5.47</v>
      </c>
      <c r="V95" s="34">
        <v>15213177</v>
      </c>
      <c r="W95" s="34">
        <v>310071</v>
      </c>
      <c r="X95" s="34">
        <v>324014</v>
      </c>
    </row>
    <row r="96" spans="1:24" x14ac:dyDescent="0.3">
      <c r="A96">
        <v>95</v>
      </c>
      <c r="B96">
        <f t="shared" si="5"/>
        <v>10</v>
      </c>
      <c r="C96" s="12">
        <f t="shared" si="4"/>
        <v>245000</v>
      </c>
      <c r="D96" s="34">
        <v>228397</v>
      </c>
      <c r="E96" s="34">
        <v>118664</v>
      </c>
      <c r="F96" s="34">
        <v>17933387</v>
      </c>
      <c r="G96" s="34">
        <v>0</v>
      </c>
      <c r="H96" s="34"/>
      <c r="I96" s="34"/>
      <c r="J96" s="34"/>
      <c r="K96" s="34"/>
      <c r="L96" s="34"/>
      <c r="M96" s="34"/>
      <c r="N96" s="34">
        <v>24500</v>
      </c>
      <c r="O96" s="34"/>
      <c r="P96" s="34"/>
      <c r="Q96" s="34"/>
      <c r="R96" s="34"/>
      <c r="S96" s="34"/>
      <c r="T96" s="34"/>
      <c r="U96" s="34">
        <v>4.66</v>
      </c>
      <c r="V96" s="34">
        <v>26288164</v>
      </c>
      <c r="W96" s="34">
        <v>779694</v>
      </c>
      <c r="X96" s="34">
        <v>806312</v>
      </c>
    </row>
    <row r="97" spans="1:24" x14ac:dyDescent="0.3">
      <c r="A97">
        <v>96</v>
      </c>
      <c r="B97">
        <f t="shared" si="5"/>
        <v>10</v>
      </c>
      <c r="C97" s="12">
        <f t="shared" si="4"/>
        <v>245500</v>
      </c>
      <c r="D97" s="34">
        <v>450513</v>
      </c>
      <c r="E97" s="34">
        <v>415794</v>
      </c>
      <c r="F97" s="34">
        <v>23029409</v>
      </c>
      <c r="G97" s="34">
        <v>3</v>
      </c>
      <c r="H97" s="34"/>
      <c r="I97" s="34"/>
      <c r="J97" s="34"/>
      <c r="K97" s="34"/>
      <c r="L97" s="34"/>
      <c r="M97" s="34"/>
      <c r="N97" s="34">
        <v>24550</v>
      </c>
      <c r="O97" s="34"/>
      <c r="P97" s="34"/>
      <c r="Q97" s="34"/>
      <c r="R97" s="34"/>
      <c r="S97" s="34"/>
      <c r="T97" s="34"/>
      <c r="U97" s="34">
        <v>4.28</v>
      </c>
      <c r="V97" s="34">
        <v>18090754</v>
      </c>
      <c r="W97" s="34">
        <v>562007</v>
      </c>
      <c r="X97" s="34">
        <v>564519</v>
      </c>
    </row>
    <row r="98" spans="1:24" x14ac:dyDescent="0.3">
      <c r="A98">
        <v>97</v>
      </c>
      <c r="B98">
        <f t="shared" si="5"/>
        <v>10</v>
      </c>
      <c r="C98" s="12">
        <f t="shared" ref="C98:C129" si="6">B98*N98</f>
        <v>246000</v>
      </c>
      <c r="D98" s="34">
        <v>717190</v>
      </c>
      <c r="E98" s="34">
        <v>625872</v>
      </c>
      <c r="F98" s="34">
        <v>26318312</v>
      </c>
      <c r="G98" s="34">
        <v>4</v>
      </c>
      <c r="H98" s="34"/>
      <c r="I98" s="34"/>
      <c r="J98" s="34"/>
      <c r="K98" s="34"/>
      <c r="L98" s="34"/>
      <c r="M98" s="34"/>
      <c r="N98" s="34">
        <v>24600</v>
      </c>
      <c r="O98" s="34"/>
      <c r="P98" s="34"/>
      <c r="Q98" s="34"/>
      <c r="R98" s="34"/>
      <c r="S98" s="34"/>
      <c r="T98" s="34"/>
      <c r="U98" s="34">
        <v>4.6100000000000003</v>
      </c>
      <c r="V98" s="34">
        <v>8614005</v>
      </c>
      <c r="W98" s="34">
        <v>222257</v>
      </c>
      <c r="X98" s="34">
        <v>226479</v>
      </c>
    </row>
    <row r="99" spans="1:24" x14ac:dyDescent="0.3">
      <c r="A99">
        <v>98</v>
      </c>
      <c r="B99">
        <f t="shared" si="5"/>
        <v>10</v>
      </c>
      <c r="C99" s="12">
        <f t="shared" si="6"/>
        <v>246500</v>
      </c>
      <c r="D99" s="34">
        <v>292782</v>
      </c>
      <c r="E99" s="34">
        <v>254981</v>
      </c>
      <c r="F99" s="34">
        <v>16690774</v>
      </c>
      <c r="G99" s="34">
        <v>4</v>
      </c>
      <c r="H99" s="34"/>
      <c r="I99" s="34"/>
      <c r="J99" s="34"/>
      <c r="K99" s="34"/>
      <c r="L99" s="34"/>
      <c r="M99" s="34"/>
      <c r="N99" s="34">
        <v>24650</v>
      </c>
      <c r="O99" s="34"/>
      <c r="P99" s="34"/>
      <c r="Q99" s="34"/>
      <c r="R99" s="34"/>
      <c r="S99" s="34"/>
      <c r="T99" s="34"/>
      <c r="U99" s="34">
        <v>5.85</v>
      </c>
      <c r="V99" s="34">
        <v>1822932</v>
      </c>
      <c r="W99" s="34">
        <v>42869</v>
      </c>
      <c r="X99" s="34">
        <v>43747</v>
      </c>
    </row>
    <row r="100" spans="1:24" x14ac:dyDescent="0.3">
      <c r="A100">
        <v>99</v>
      </c>
      <c r="B100">
        <f t="shared" si="5"/>
        <v>10</v>
      </c>
      <c r="C100" s="12">
        <f t="shared" si="6"/>
        <v>247000</v>
      </c>
      <c r="D100" s="34">
        <v>229340</v>
      </c>
      <c r="E100" s="34">
        <v>164430</v>
      </c>
      <c r="F100" s="34">
        <v>10808941</v>
      </c>
      <c r="G100" s="34">
        <v>5</v>
      </c>
      <c r="H100" s="34"/>
      <c r="I100" s="34"/>
      <c r="J100" s="34"/>
      <c r="K100" s="34"/>
      <c r="L100" s="34"/>
      <c r="M100" s="34"/>
      <c r="N100" s="34">
        <v>24700</v>
      </c>
      <c r="O100" s="34"/>
      <c r="P100" s="34"/>
      <c r="Q100" s="34"/>
      <c r="R100" s="34"/>
      <c r="S100" s="34"/>
      <c r="T100" s="34"/>
      <c r="U100" s="34">
        <v>7.65</v>
      </c>
      <c r="V100" s="34">
        <v>1176171</v>
      </c>
      <c r="W100" s="34">
        <v>26961</v>
      </c>
      <c r="X100" s="34">
        <v>30828</v>
      </c>
    </row>
    <row r="101" spans="1:24" x14ac:dyDescent="0.3">
      <c r="A101">
        <v>100</v>
      </c>
      <c r="B101">
        <f t="shared" si="5"/>
        <v>10</v>
      </c>
      <c r="C101" s="12">
        <f t="shared" si="6"/>
        <v>247500</v>
      </c>
      <c r="D101" s="34">
        <v>134189</v>
      </c>
      <c r="E101" s="34">
        <v>98801</v>
      </c>
      <c r="F101" s="34">
        <v>4794744</v>
      </c>
      <c r="G101" s="34">
        <v>6</v>
      </c>
      <c r="H101" s="34"/>
      <c r="I101" s="34"/>
      <c r="J101" s="34"/>
      <c r="K101" s="34"/>
      <c r="L101" s="34"/>
      <c r="M101" s="34"/>
      <c r="N101" s="34">
        <v>24750</v>
      </c>
      <c r="O101" s="34"/>
      <c r="P101" s="34"/>
      <c r="Q101" s="34"/>
      <c r="R101" s="34"/>
      <c r="S101" s="34"/>
      <c r="T101" s="34"/>
      <c r="U101" s="34">
        <v>10.199999999999999</v>
      </c>
      <c r="V101" s="34">
        <v>242419</v>
      </c>
      <c r="W101" s="34">
        <v>5267</v>
      </c>
      <c r="X101" s="34">
        <v>5883</v>
      </c>
    </row>
    <row r="102" spans="1:24" x14ac:dyDescent="0.3">
      <c r="A102">
        <v>101</v>
      </c>
      <c r="B102">
        <f t="shared" si="5"/>
        <v>11</v>
      </c>
      <c r="C102" s="12">
        <f t="shared" si="6"/>
        <v>267300</v>
      </c>
      <c r="D102" s="34">
        <v>26439</v>
      </c>
      <c r="E102" s="34">
        <v>-24384</v>
      </c>
      <c r="F102" s="34">
        <v>1164825</v>
      </c>
      <c r="G102" s="34">
        <v>0</v>
      </c>
      <c r="H102" s="34"/>
      <c r="I102" s="34"/>
      <c r="J102" s="34"/>
      <c r="K102" s="34"/>
      <c r="L102" s="34"/>
      <c r="M102" s="34"/>
      <c r="N102" s="34">
        <v>24300</v>
      </c>
      <c r="O102" s="34"/>
      <c r="P102" s="34"/>
      <c r="Q102" s="34"/>
      <c r="R102" s="34"/>
      <c r="S102" s="34"/>
      <c r="T102" s="34"/>
      <c r="U102" s="34">
        <v>9.64</v>
      </c>
      <c r="V102" s="34">
        <v>6875961</v>
      </c>
      <c r="W102" s="34">
        <v>136299</v>
      </c>
      <c r="X102" s="34">
        <v>224399</v>
      </c>
    </row>
    <row r="103" spans="1:24" x14ac:dyDescent="0.3">
      <c r="A103">
        <v>102</v>
      </c>
      <c r="B103">
        <f t="shared" si="5"/>
        <v>11</v>
      </c>
      <c r="C103" s="12">
        <f t="shared" si="6"/>
        <v>267850</v>
      </c>
      <c r="D103" s="34">
        <v>18686</v>
      </c>
      <c r="E103" s="34">
        <v>-13302</v>
      </c>
      <c r="F103" s="34">
        <v>1283195</v>
      </c>
      <c r="G103" s="34">
        <v>0</v>
      </c>
      <c r="H103" s="34"/>
      <c r="I103" s="34"/>
      <c r="J103" s="34"/>
      <c r="K103" s="34"/>
      <c r="L103" s="34"/>
      <c r="M103" s="34"/>
      <c r="N103" s="34">
        <v>24350</v>
      </c>
      <c r="O103" s="34"/>
      <c r="P103" s="34"/>
      <c r="Q103" s="34"/>
      <c r="R103" s="34"/>
      <c r="S103" s="34"/>
      <c r="T103" s="34"/>
      <c r="U103" s="34">
        <v>8.1199999999999992</v>
      </c>
      <c r="V103" s="34">
        <v>7025999</v>
      </c>
      <c r="W103" s="34">
        <v>130760</v>
      </c>
      <c r="X103" s="34">
        <v>162742</v>
      </c>
    </row>
    <row r="104" spans="1:24" x14ac:dyDescent="0.3">
      <c r="A104">
        <v>103</v>
      </c>
      <c r="B104">
        <f t="shared" si="5"/>
        <v>11</v>
      </c>
      <c r="C104" s="12">
        <f t="shared" si="6"/>
        <v>268400</v>
      </c>
      <c r="D104" s="34">
        <v>58068</v>
      </c>
      <c r="E104" s="34">
        <v>-22980</v>
      </c>
      <c r="F104" s="34">
        <v>4440306</v>
      </c>
      <c r="G104" s="34">
        <v>0</v>
      </c>
      <c r="H104" s="34"/>
      <c r="I104" s="34"/>
      <c r="J104" s="34"/>
      <c r="K104" s="34"/>
      <c r="L104" s="34"/>
      <c r="M104" s="34"/>
      <c r="N104" s="34">
        <v>24400</v>
      </c>
      <c r="O104" s="34"/>
      <c r="P104" s="34"/>
      <c r="Q104" s="34"/>
      <c r="R104" s="34"/>
      <c r="S104" s="34"/>
      <c r="T104" s="34"/>
      <c r="U104" s="34">
        <v>6.82</v>
      </c>
      <c r="V104" s="34">
        <v>13848897</v>
      </c>
      <c r="W104" s="34">
        <v>315138</v>
      </c>
      <c r="X104" s="34">
        <v>359589</v>
      </c>
    </row>
    <row r="105" spans="1:24" x14ac:dyDescent="0.3">
      <c r="A105">
        <v>104</v>
      </c>
      <c r="B105">
        <f t="shared" si="5"/>
        <v>11</v>
      </c>
      <c r="C105" s="12">
        <f t="shared" si="6"/>
        <v>268950</v>
      </c>
      <c r="D105" s="34">
        <v>72928</v>
      </c>
      <c r="E105" s="34">
        <v>24783</v>
      </c>
      <c r="F105" s="34">
        <v>6344547</v>
      </c>
      <c r="G105" s="34">
        <v>0</v>
      </c>
      <c r="H105" s="34"/>
      <c r="I105" s="34"/>
      <c r="J105" s="34"/>
      <c r="K105" s="34"/>
      <c r="L105" s="34"/>
      <c r="M105" s="34"/>
      <c r="N105" s="34">
        <v>24450</v>
      </c>
      <c r="O105" s="34"/>
      <c r="P105" s="34"/>
      <c r="Q105" s="34"/>
      <c r="R105" s="34"/>
      <c r="S105" s="34"/>
      <c r="T105" s="34"/>
      <c r="U105" s="34">
        <v>5.47</v>
      </c>
      <c r="V105" s="34">
        <v>15020708</v>
      </c>
      <c r="W105" s="34">
        <v>323868</v>
      </c>
      <c r="X105" s="34">
        <v>337811</v>
      </c>
    </row>
    <row r="106" spans="1:24" x14ac:dyDescent="0.3">
      <c r="A106">
        <v>105</v>
      </c>
      <c r="B106">
        <f t="shared" si="5"/>
        <v>11</v>
      </c>
      <c r="C106" s="12">
        <f t="shared" si="6"/>
        <v>269500</v>
      </c>
      <c r="D106" s="34">
        <v>226705</v>
      </c>
      <c r="E106" s="34">
        <v>116972</v>
      </c>
      <c r="F106" s="34">
        <v>17753678</v>
      </c>
      <c r="G106" s="34">
        <v>0</v>
      </c>
      <c r="H106" s="34"/>
      <c r="I106" s="34"/>
      <c r="J106" s="34"/>
      <c r="K106" s="34"/>
      <c r="L106" s="34"/>
      <c r="M106" s="34"/>
      <c r="N106" s="34">
        <v>24500</v>
      </c>
      <c r="O106" s="34"/>
      <c r="P106" s="34"/>
      <c r="Q106" s="34"/>
      <c r="R106" s="34"/>
      <c r="S106" s="34"/>
      <c r="T106" s="34"/>
      <c r="U106" s="34">
        <v>4.66</v>
      </c>
      <c r="V106" s="34">
        <v>25726800</v>
      </c>
      <c r="W106" s="34">
        <v>779871</v>
      </c>
      <c r="X106" s="34">
        <v>806489</v>
      </c>
    </row>
    <row r="107" spans="1:24" x14ac:dyDescent="0.3">
      <c r="A107">
        <v>106</v>
      </c>
      <c r="B107">
        <f t="shared" si="5"/>
        <v>11</v>
      </c>
      <c r="C107" s="12">
        <f t="shared" si="6"/>
        <v>270050</v>
      </c>
      <c r="D107" s="34">
        <v>409644</v>
      </c>
      <c r="E107" s="34">
        <v>374925</v>
      </c>
      <c r="F107" s="34">
        <v>22448446</v>
      </c>
      <c r="G107" s="34">
        <v>3</v>
      </c>
      <c r="H107" s="34"/>
      <c r="I107" s="34"/>
      <c r="J107" s="34"/>
      <c r="K107" s="34"/>
      <c r="L107" s="34"/>
      <c r="M107" s="34"/>
      <c r="N107" s="34">
        <v>24550</v>
      </c>
      <c r="O107" s="34"/>
      <c r="P107" s="34"/>
      <c r="Q107" s="34"/>
      <c r="R107" s="34"/>
      <c r="S107" s="34"/>
      <c r="T107" s="34"/>
      <c r="U107" s="34">
        <v>4.28</v>
      </c>
      <c r="V107" s="34">
        <v>17464061</v>
      </c>
      <c r="W107" s="34">
        <v>559546</v>
      </c>
      <c r="X107" s="34">
        <v>562058</v>
      </c>
    </row>
    <row r="108" spans="1:24" x14ac:dyDescent="0.3">
      <c r="A108">
        <v>107</v>
      </c>
      <c r="B108">
        <f t="shared" ref="B108:B139" si="7">B98+1</f>
        <v>11</v>
      </c>
      <c r="C108" s="12">
        <f t="shared" si="6"/>
        <v>270600</v>
      </c>
      <c r="D108" s="34">
        <v>679022</v>
      </c>
      <c r="E108" s="34">
        <v>587704</v>
      </c>
      <c r="F108" s="34">
        <v>25493120</v>
      </c>
      <c r="G108" s="34">
        <v>4</v>
      </c>
      <c r="H108" s="34"/>
      <c r="I108" s="34"/>
      <c r="J108" s="34"/>
      <c r="K108" s="34"/>
      <c r="L108" s="34"/>
      <c r="M108" s="34"/>
      <c r="N108" s="34">
        <v>24600</v>
      </c>
      <c r="O108" s="34"/>
      <c r="P108" s="34"/>
      <c r="Q108" s="34"/>
      <c r="R108" s="34"/>
      <c r="S108" s="34"/>
      <c r="T108" s="34"/>
      <c r="U108" s="34">
        <v>4.6100000000000003</v>
      </c>
      <c r="V108" s="34">
        <v>8386491</v>
      </c>
      <c r="W108" s="34">
        <v>234729</v>
      </c>
      <c r="X108" s="34">
        <v>238951</v>
      </c>
    </row>
    <row r="109" spans="1:24" x14ac:dyDescent="0.3">
      <c r="A109">
        <v>108</v>
      </c>
      <c r="B109">
        <f t="shared" si="7"/>
        <v>11</v>
      </c>
      <c r="C109" s="12">
        <f t="shared" si="6"/>
        <v>271150</v>
      </c>
      <c r="D109" s="34">
        <v>306141</v>
      </c>
      <c r="E109" s="34">
        <v>268340</v>
      </c>
      <c r="F109" s="34">
        <v>16431126</v>
      </c>
      <c r="G109" s="34">
        <v>4</v>
      </c>
      <c r="H109" s="34"/>
      <c r="I109" s="34"/>
      <c r="J109" s="34"/>
      <c r="K109" s="34"/>
      <c r="L109" s="34"/>
      <c r="M109" s="34"/>
      <c r="N109" s="34">
        <v>24650</v>
      </c>
      <c r="O109" s="34"/>
      <c r="P109" s="34"/>
      <c r="Q109" s="34"/>
      <c r="R109" s="34"/>
      <c r="S109" s="34"/>
      <c r="T109" s="34"/>
      <c r="U109" s="34">
        <v>5.85</v>
      </c>
      <c r="V109" s="34">
        <v>1785105</v>
      </c>
      <c r="W109" s="34">
        <v>43665</v>
      </c>
      <c r="X109" s="34">
        <v>44543</v>
      </c>
    </row>
    <row r="110" spans="1:24" x14ac:dyDescent="0.3">
      <c r="A110">
        <v>109</v>
      </c>
      <c r="B110">
        <f t="shared" si="7"/>
        <v>11</v>
      </c>
      <c r="C110" s="12">
        <f t="shared" si="6"/>
        <v>271700</v>
      </c>
      <c r="D110" s="34">
        <v>235993</v>
      </c>
      <c r="E110" s="34">
        <v>171083</v>
      </c>
      <c r="F110" s="34">
        <v>10693633</v>
      </c>
      <c r="G110" s="34">
        <v>5</v>
      </c>
      <c r="H110" s="34"/>
      <c r="I110" s="34"/>
      <c r="J110" s="34"/>
      <c r="K110" s="34"/>
      <c r="L110" s="34"/>
      <c r="M110" s="34"/>
      <c r="N110" s="34">
        <v>24700</v>
      </c>
      <c r="O110" s="34"/>
      <c r="P110" s="34"/>
      <c r="Q110" s="34"/>
      <c r="R110" s="34"/>
      <c r="S110" s="34"/>
      <c r="T110" s="34"/>
      <c r="U110" s="34">
        <v>7.65</v>
      </c>
      <c r="V110" s="34">
        <v>1161631</v>
      </c>
      <c r="W110" s="34">
        <v>27334</v>
      </c>
      <c r="X110" s="34">
        <v>31201</v>
      </c>
    </row>
    <row r="111" spans="1:24" x14ac:dyDescent="0.3">
      <c r="A111">
        <v>110</v>
      </c>
      <c r="B111">
        <f t="shared" si="7"/>
        <v>11</v>
      </c>
      <c r="C111" s="12">
        <f t="shared" si="6"/>
        <v>272250</v>
      </c>
      <c r="D111" s="34">
        <v>137622</v>
      </c>
      <c r="E111" s="34">
        <v>102234</v>
      </c>
      <c r="F111" s="34">
        <v>4777543</v>
      </c>
      <c r="G111" s="34">
        <v>6</v>
      </c>
      <c r="H111" s="34"/>
      <c r="I111" s="34"/>
      <c r="J111" s="34"/>
      <c r="K111" s="34"/>
      <c r="L111" s="34"/>
      <c r="M111" s="34"/>
      <c r="N111" s="34">
        <v>24750</v>
      </c>
      <c r="O111" s="34"/>
      <c r="P111" s="34"/>
      <c r="Q111" s="34"/>
      <c r="R111" s="34"/>
      <c r="S111" s="34"/>
      <c r="T111" s="34"/>
      <c r="U111" s="34">
        <v>10.199999999999999</v>
      </c>
      <c r="V111" s="34">
        <v>238816</v>
      </c>
      <c r="W111" s="34">
        <v>5564</v>
      </c>
      <c r="X111" s="34">
        <v>6180</v>
      </c>
    </row>
    <row r="112" spans="1:24" x14ac:dyDescent="0.3">
      <c r="A112">
        <v>111</v>
      </c>
      <c r="B112">
        <f t="shared" si="7"/>
        <v>12</v>
      </c>
      <c r="C112" s="12">
        <f t="shared" si="6"/>
        <v>291600</v>
      </c>
      <c r="D112" s="28">
        <v>26946</v>
      </c>
      <c r="E112" s="28">
        <v>-23877</v>
      </c>
      <c r="F112" s="28">
        <v>1160488</v>
      </c>
      <c r="G112" s="28">
        <v>0</v>
      </c>
      <c r="N112" s="28">
        <v>24300</v>
      </c>
      <c r="U112" s="28">
        <v>9.64</v>
      </c>
      <c r="V112" s="28">
        <v>6839770</v>
      </c>
      <c r="W112" s="28">
        <v>140068</v>
      </c>
      <c r="X112" s="28">
        <v>228168</v>
      </c>
    </row>
    <row r="113" spans="1:24" x14ac:dyDescent="0.3">
      <c r="A113">
        <v>112</v>
      </c>
      <c r="B113">
        <f t="shared" si="7"/>
        <v>12</v>
      </c>
      <c r="C113" s="12">
        <f t="shared" si="6"/>
        <v>292200</v>
      </c>
      <c r="D113" s="28">
        <v>18785</v>
      </c>
      <c r="E113" s="28">
        <v>-13203</v>
      </c>
      <c r="F113" s="28">
        <v>1279283</v>
      </c>
      <c r="G113" s="28">
        <v>0</v>
      </c>
      <c r="N113" s="28">
        <v>24350</v>
      </c>
      <c r="U113" s="28">
        <v>8.1199999999999992</v>
      </c>
      <c r="V113" s="28">
        <v>6997546</v>
      </c>
      <c r="W113" s="28">
        <v>131486</v>
      </c>
      <c r="X113" s="28">
        <v>163468</v>
      </c>
    </row>
    <row r="114" spans="1:24" x14ac:dyDescent="0.3">
      <c r="A114">
        <v>113</v>
      </c>
      <c r="B114">
        <f t="shared" si="7"/>
        <v>12</v>
      </c>
      <c r="C114" s="12">
        <f t="shared" si="6"/>
        <v>292800</v>
      </c>
      <c r="D114" s="28">
        <v>58061</v>
      </c>
      <c r="E114" s="28">
        <v>-22987</v>
      </c>
      <c r="F114" s="28">
        <v>4421362</v>
      </c>
      <c r="G114" s="28">
        <v>0</v>
      </c>
      <c r="N114" s="28">
        <v>24400</v>
      </c>
      <c r="U114" s="28">
        <v>6.82</v>
      </c>
      <c r="V114" s="28">
        <v>13781660</v>
      </c>
      <c r="W114" s="28">
        <v>328590</v>
      </c>
      <c r="X114" s="28">
        <v>373041</v>
      </c>
    </row>
    <row r="115" spans="1:24" x14ac:dyDescent="0.3">
      <c r="A115">
        <v>114</v>
      </c>
      <c r="B115">
        <f t="shared" si="7"/>
        <v>12</v>
      </c>
      <c r="C115" s="12">
        <f t="shared" si="6"/>
        <v>293400</v>
      </c>
      <c r="D115" s="28">
        <v>70876</v>
      </c>
      <c r="E115" s="28">
        <v>22731</v>
      </c>
      <c r="F115" s="28">
        <v>6310998</v>
      </c>
      <c r="G115" s="28">
        <v>0</v>
      </c>
      <c r="N115" s="28">
        <v>24450</v>
      </c>
      <c r="U115" s="28">
        <v>5.47</v>
      </c>
      <c r="V115" s="28">
        <v>14854736</v>
      </c>
      <c r="W115" s="28">
        <v>311007</v>
      </c>
      <c r="X115" s="28">
        <v>324950</v>
      </c>
    </row>
    <row r="116" spans="1:24" x14ac:dyDescent="0.3">
      <c r="A116">
        <v>115</v>
      </c>
      <c r="B116">
        <f t="shared" si="7"/>
        <v>12</v>
      </c>
      <c r="C116" s="12">
        <f t="shared" si="6"/>
        <v>294000</v>
      </c>
      <c r="D116" s="28">
        <v>216891</v>
      </c>
      <c r="E116" s="28">
        <v>107158</v>
      </c>
      <c r="F116" s="28">
        <v>17573448</v>
      </c>
      <c r="G116" s="28">
        <v>0</v>
      </c>
      <c r="N116" s="28">
        <v>24500</v>
      </c>
      <c r="U116" s="28">
        <v>4.66</v>
      </c>
      <c r="V116" s="28">
        <v>25237029</v>
      </c>
      <c r="W116" s="28">
        <v>769974</v>
      </c>
      <c r="X116" s="28">
        <v>796592</v>
      </c>
    </row>
    <row r="117" spans="1:24" x14ac:dyDescent="0.3">
      <c r="A117">
        <v>116</v>
      </c>
      <c r="B117">
        <f t="shared" si="7"/>
        <v>12</v>
      </c>
      <c r="C117" s="12">
        <f t="shared" si="6"/>
        <v>294600</v>
      </c>
      <c r="D117" s="28">
        <v>377809</v>
      </c>
      <c r="E117" s="28">
        <v>343090</v>
      </c>
      <c r="F117" s="28">
        <v>21940450</v>
      </c>
      <c r="G117" s="28">
        <v>3</v>
      </c>
      <c r="N117" s="28">
        <v>24550</v>
      </c>
      <c r="U117" s="28">
        <v>4.28</v>
      </c>
      <c r="V117" s="28">
        <v>16784114</v>
      </c>
      <c r="W117" s="28">
        <v>564326</v>
      </c>
      <c r="X117" s="28">
        <v>566838</v>
      </c>
    </row>
    <row r="118" spans="1:24" x14ac:dyDescent="0.3">
      <c r="A118">
        <v>117</v>
      </c>
      <c r="B118">
        <f t="shared" si="7"/>
        <v>12</v>
      </c>
      <c r="C118" s="12">
        <f t="shared" si="6"/>
        <v>295200</v>
      </c>
      <c r="D118" s="28">
        <v>657599</v>
      </c>
      <c r="E118" s="28">
        <v>566281</v>
      </c>
      <c r="F118" s="28">
        <v>24729330</v>
      </c>
      <c r="G118" s="28">
        <v>4</v>
      </c>
      <c r="N118" s="28">
        <v>24600</v>
      </c>
      <c r="U118" s="28">
        <v>4.6100000000000003</v>
      </c>
      <c r="V118" s="28">
        <v>8089244</v>
      </c>
      <c r="W118" s="28">
        <v>263337</v>
      </c>
      <c r="X118" s="28">
        <v>267559</v>
      </c>
    </row>
    <row r="119" spans="1:24" x14ac:dyDescent="0.3">
      <c r="A119">
        <v>118</v>
      </c>
      <c r="B119">
        <f t="shared" si="7"/>
        <v>12</v>
      </c>
      <c r="C119" s="12">
        <f t="shared" si="6"/>
        <v>295800</v>
      </c>
      <c r="D119" s="28">
        <v>327250</v>
      </c>
      <c r="E119" s="28">
        <v>289449</v>
      </c>
      <c r="F119" s="28">
        <v>16007270</v>
      </c>
      <c r="G119" s="28">
        <v>4</v>
      </c>
      <c r="N119" s="28">
        <v>24650</v>
      </c>
      <c r="U119" s="28">
        <v>5.85</v>
      </c>
      <c r="V119" s="28">
        <v>1735816</v>
      </c>
      <c r="W119" s="28">
        <v>48758</v>
      </c>
      <c r="X119" s="28">
        <v>49636</v>
      </c>
    </row>
    <row r="120" spans="1:24" x14ac:dyDescent="0.3">
      <c r="A120">
        <v>119</v>
      </c>
      <c r="B120">
        <f t="shared" si="7"/>
        <v>12</v>
      </c>
      <c r="C120" s="12">
        <f t="shared" si="6"/>
        <v>296400</v>
      </c>
      <c r="D120" s="28">
        <v>237431</v>
      </c>
      <c r="E120" s="28">
        <v>172521</v>
      </c>
      <c r="F120" s="28">
        <v>10621280</v>
      </c>
      <c r="G120" s="28">
        <v>5</v>
      </c>
      <c r="N120" s="28">
        <v>24700</v>
      </c>
      <c r="U120" s="28">
        <v>7.65</v>
      </c>
      <c r="V120" s="28">
        <v>1141724</v>
      </c>
      <c r="W120" s="28">
        <v>30000</v>
      </c>
      <c r="X120" s="28">
        <v>33867</v>
      </c>
    </row>
    <row r="121" spans="1:24" x14ac:dyDescent="0.3">
      <c r="A121">
        <v>120</v>
      </c>
      <c r="B121">
        <f t="shared" si="7"/>
        <v>12</v>
      </c>
      <c r="C121" s="12">
        <f t="shared" si="6"/>
        <v>297000</v>
      </c>
      <c r="D121" s="28">
        <v>134014</v>
      </c>
      <c r="E121" s="28">
        <v>98626</v>
      </c>
      <c r="F121" s="28">
        <v>4753390</v>
      </c>
      <c r="G121" s="28">
        <v>6</v>
      </c>
      <c r="N121" s="28">
        <v>24750</v>
      </c>
      <c r="U121" s="28">
        <v>10.199999999999999</v>
      </c>
      <c r="V121" s="28">
        <v>234926</v>
      </c>
      <c r="W121" s="28">
        <v>6070</v>
      </c>
      <c r="X121" s="28">
        <v>6686</v>
      </c>
    </row>
    <row r="122" spans="1:24" x14ac:dyDescent="0.3">
      <c r="A122">
        <v>121</v>
      </c>
      <c r="B122">
        <f t="shared" si="7"/>
        <v>13</v>
      </c>
      <c r="C122" s="12">
        <f t="shared" si="6"/>
        <v>315900</v>
      </c>
      <c r="D122" s="28">
        <v>27247</v>
      </c>
      <c r="E122" s="28">
        <v>-23576</v>
      </c>
      <c r="F122" s="28">
        <v>1156320</v>
      </c>
      <c r="G122" s="28">
        <v>0</v>
      </c>
      <c r="N122" s="28">
        <v>24300</v>
      </c>
      <c r="U122" s="28">
        <v>9.43</v>
      </c>
      <c r="V122" s="28">
        <v>6804972</v>
      </c>
      <c r="W122" s="28">
        <v>140671</v>
      </c>
      <c r="X122" s="28">
        <v>228771</v>
      </c>
    </row>
    <row r="123" spans="1:24" x14ac:dyDescent="0.3">
      <c r="A123">
        <v>122</v>
      </c>
      <c r="B123">
        <f t="shared" si="7"/>
        <v>13</v>
      </c>
      <c r="C123" s="12">
        <f t="shared" si="6"/>
        <v>316550</v>
      </c>
      <c r="D123" s="28">
        <v>18980</v>
      </c>
      <c r="E123" s="28">
        <v>-13008</v>
      </c>
      <c r="F123" s="28">
        <v>1275830</v>
      </c>
      <c r="G123" s="28">
        <v>0</v>
      </c>
      <c r="N123" s="28">
        <v>24350</v>
      </c>
      <c r="U123" s="28">
        <v>8.11</v>
      </c>
      <c r="V123" s="28">
        <v>6954766</v>
      </c>
      <c r="W123" s="28">
        <v>131760</v>
      </c>
      <c r="X123" s="28">
        <v>163742</v>
      </c>
    </row>
    <row r="124" spans="1:24" x14ac:dyDescent="0.3">
      <c r="A124">
        <v>123</v>
      </c>
      <c r="B124">
        <f t="shared" si="7"/>
        <v>13</v>
      </c>
      <c r="C124" s="12">
        <f t="shared" si="6"/>
        <v>317200</v>
      </c>
      <c r="D124" s="28">
        <v>58181</v>
      </c>
      <c r="E124" s="28">
        <v>-22867</v>
      </c>
      <c r="F124" s="28">
        <v>4402757</v>
      </c>
      <c r="G124" s="28">
        <v>0</v>
      </c>
      <c r="N124" s="28">
        <v>24400</v>
      </c>
      <c r="U124" s="28">
        <v>6.94</v>
      </c>
      <c r="V124" s="28">
        <v>13651605</v>
      </c>
      <c r="W124" s="28">
        <v>324495</v>
      </c>
      <c r="X124" s="28">
        <v>368946</v>
      </c>
    </row>
    <row r="125" spans="1:24" x14ac:dyDescent="0.3">
      <c r="A125">
        <v>124</v>
      </c>
      <c r="B125">
        <f t="shared" si="7"/>
        <v>13</v>
      </c>
      <c r="C125" s="12">
        <f t="shared" si="6"/>
        <v>317850</v>
      </c>
      <c r="D125" s="28">
        <v>70995</v>
      </c>
      <c r="E125" s="28">
        <v>22850</v>
      </c>
      <c r="F125" s="28">
        <v>6279805</v>
      </c>
      <c r="G125" s="28">
        <v>0</v>
      </c>
      <c r="N125" s="28">
        <v>24450</v>
      </c>
      <c r="U125" s="28">
        <v>5.93</v>
      </c>
      <c r="V125" s="28">
        <v>14614544</v>
      </c>
      <c r="W125" s="28">
        <v>298170</v>
      </c>
      <c r="X125" s="28">
        <v>312113</v>
      </c>
    </row>
    <row r="126" spans="1:24" x14ac:dyDescent="0.3">
      <c r="A126">
        <v>125</v>
      </c>
      <c r="B126">
        <f t="shared" si="7"/>
        <v>13</v>
      </c>
      <c r="C126" s="12">
        <f t="shared" si="6"/>
        <v>318500</v>
      </c>
      <c r="D126" s="28">
        <v>215436</v>
      </c>
      <c r="E126" s="28">
        <v>105703</v>
      </c>
      <c r="F126" s="28">
        <v>17408409</v>
      </c>
      <c r="G126" s="28">
        <v>0</v>
      </c>
      <c r="N126" s="28">
        <v>24500</v>
      </c>
      <c r="U126" s="28">
        <v>5.47</v>
      </c>
      <c r="V126" s="28">
        <v>24698234</v>
      </c>
      <c r="W126" s="28">
        <v>753277</v>
      </c>
      <c r="X126" s="28">
        <v>779895</v>
      </c>
    </row>
    <row r="127" spans="1:24" x14ac:dyDescent="0.3">
      <c r="A127">
        <v>126</v>
      </c>
      <c r="B127">
        <f t="shared" si="7"/>
        <v>13</v>
      </c>
      <c r="C127" s="12">
        <f t="shared" si="6"/>
        <v>319150</v>
      </c>
      <c r="D127" s="28">
        <v>372379</v>
      </c>
      <c r="E127" s="28">
        <v>337660</v>
      </c>
      <c r="F127" s="28">
        <v>21469728</v>
      </c>
      <c r="G127" s="28">
        <v>2</v>
      </c>
      <c r="N127" s="28">
        <v>24550</v>
      </c>
      <c r="U127" s="28">
        <v>5.56</v>
      </c>
      <c r="V127" s="28">
        <v>16113124</v>
      </c>
      <c r="W127" s="28">
        <v>554148</v>
      </c>
      <c r="X127" s="28">
        <v>556660</v>
      </c>
    </row>
    <row r="128" spans="1:24" x14ac:dyDescent="0.3">
      <c r="A128">
        <v>127</v>
      </c>
      <c r="B128">
        <f t="shared" si="7"/>
        <v>13</v>
      </c>
      <c r="C128" s="12">
        <f t="shared" si="6"/>
        <v>319800</v>
      </c>
      <c r="D128" s="28">
        <v>652487</v>
      </c>
      <c r="E128" s="28">
        <v>561169</v>
      </c>
      <c r="F128" s="28">
        <v>23851872</v>
      </c>
      <c r="G128" s="28">
        <v>3</v>
      </c>
      <c r="N128" s="28">
        <v>24600</v>
      </c>
      <c r="U128" s="28">
        <v>6.93</v>
      </c>
      <c r="V128" s="28">
        <v>7772508</v>
      </c>
      <c r="W128" s="28">
        <v>279327</v>
      </c>
      <c r="X128" s="28">
        <v>283549</v>
      </c>
    </row>
    <row r="129" spans="1:24" x14ac:dyDescent="0.3">
      <c r="A129">
        <v>128</v>
      </c>
      <c r="B129">
        <f t="shared" si="7"/>
        <v>13</v>
      </c>
      <c r="C129" s="12">
        <f t="shared" si="6"/>
        <v>320450</v>
      </c>
      <c r="D129" s="28">
        <v>353547</v>
      </c>
      <c r="E129" s="28">
        <v>315746</v>
      </c>
      <c r="F129" s="28">
        <v>15384678</v>
      </c>
      <c r="G129" s="28">
        <v>4</v>
      </c>
      <c r="N129" s="28">
        <v>24650</v>
      </c>
      <c r="U129" s="28">
        <v>9.17</v>
      </c>
      <c r="V129" s="28">
        <v>1683072</v>
      </c>
      <c r="W129" s="28">
        <v>54263</v>
      </c>
      <c r="X129" s="28">
        <v>55141</v>
      </c>
    </row>
    <row r="130" spans="1:24" x14ac:dyDescent="0.3">
      <c r="A130">
        <v>129</v>
      </c>
      <c r="B130">
        <f t="shared" si="7"/>
        <v>13</v>
      </c>
      <c r="C130" s="12">
        <f t="shared" ref="C130:C161" si="8">B130*N130</f>
        <v>321100</v>
      </c>
      <c r="D130" s="28">
        <v>245386</v>
      </c>
      <c r="E130" s="28">
        <v>180476</v>
      </c>
      <c r="F130" s="28">
        <v>10506616</v>
      </c>
      <c r="G130" s="28">
        <v>5</v>
      </c>
      <c r="N130" s="28">
        <v>24700</v>
      </c>
      <c r="U130" s="28">
        <v>11.85</v>
      </c>
      <c r="V130" s="28">
        <v>1118567</v>
      </c>
      <c r="W130" s="28">
        <v>33294</v>
      </c>
      <c r="X130" s="28">
        <v>37161</v>
      </c>
    </row>
    <row r="131" spans="1:24" x14ac:dyDescent="0.3">
      <c r="A131">
        <v>130</v>
      </c>
      <c r="B131">
        <f t="shared" si="7"/>
        <v>13</v>
      </c>
      <c r="C131" s="12">
        <f t="shared" si="8"/>
        <v>321750</v>
      </c>
      <c r="D131" s="28">
        <v>131924</v>
      </c>
      <c r="E131" s="28">
        <v>96536</v>
      </c>
      <c r="F131" s="28">
        <v>4734098</v>
      </c>
      <c r="G131" s="28">
        <v>6</v>
      </c>
      <c r="N131" s="28">
        <v>24750</v>
      </c>
      <c r="U131" s="28">
        <v>14.23</v>
      </c>
      <c r="V131" s="28">
        <v>230005</v>
      </c>
      <c r="W131" s="28">
        <v>6770</v>
      </c>
      <c r="X131" s="28">
        <v>7386</v>
      </c>
    </row>
    <row r="132" spans="1:24" x14ac:dyDescent="0.3">
      <c r="A132">
        <v>131</v>
      </c>
      <c r="B132">
        <f t="shared" si="7"/>
        <v>14</v>
      </c>
      <c r="C132" s="12">
        <f t="shared" si="8"/>
        <v>340200</v>
      </c>
      <c r="D132" s="28">
        <v>27327</v>
      </c>
      <c r="E132" s="28">
        <v>-23496</v>
      </c>
      <c r="F132" s="28">
        <v>1154244</v>
      </c>
      <c r="G132" s="28">
        <v>0</v>
      </c>
      <c r="N132" s="28">
        <v>24300</v>
      </c>
      <c r="U132" s="28">
        <v>9.43</v>
      </c>
      <c r="V132" s="28">
        <v>6767206</v>
      </c>
      <c r="W132" s="28">
        <v>131398</v>
      </c>
      <c r="X132" s="28">
        <v>219498</v>
      </c>
    </row>
    <row r="133" spans="1:24" x14ac:dyDescent="0.3">
      <c r="A133">
        <v>132</v>
      </c>
      <c r="B133">
        <f t="shared" si="7"/>
        <v>14</v>
      </c>
      <c r="C133" s="12">
        <f t="shared" si="8"/>
        <v>340900</v>
      </c>
      <c r="D133" s="28">
        <v>19132</v>
      </c>
      <c r="E133" s="28">
        <v>-12856</v>
      </c>
      <c r="F133" s="28">
        <v>1272995</v>
      </c>
      <c r="G133" s="28">
        <v>0</v>
      </c>
      <c r="N133" s="28">
        <v>24350</v>
      </c>
      <c r="U133" s="28">
        <v>8.11</v>
      </c>
      <c r="V133" s="28">
        <v>6910224</v>
      </c>
      <c r="W133" s="28">
        <v>132878</v>
      </c>
      <c r="X133" s="28">
        <v>164860</v>
      </c>
    </row>
    <row r="134" spans="1:24" x14ac:dyDescent="0.3">
      <c r="A134">
        <v>133</v>
      </c>
      <c r="B134">
        <f t="shared" si="7"/>
        <v>14</v>
      </c>
      <c r="C134" s="12">
        <f t="shared" si="8"/>
        <v>341600</v>
      </c>
      <c r="D134" s="28">
        <v>58874</v>
      </c>
      <c r="E134" s="28">
        <v>-22174</v>
      </c>
      <c r="F134" s="28">
        <v>4388504</v>
      </c>
      <c r="G134" s="28">
        <v>0</v>
      </c>
      <c r="N134" s="28">
        <v>24400</v>
      </c>
      <c r="U134" s="28">
        <v>6.94</v>
      </c>
      <c r="V134" s="28">
        <v>13547351</v>
      </c>
      <c r="W134" s="28">
        <v>335207</v>
      </c>
      <c r="X134" s="28">
        <v>379658</v>
      </c>
    </row>
    <row r="135" spans="1:24" x14ac:dyDescent="0.3">
      <c r="A135">
        <v>134</v>
      </c>
      <c r="B135">
        <f t="shared" si="7"/>
        <v>14</v>
      </c>
      <c r="C135" s="12">
        <f t="shared" si="8"/>
        <v>342300</v>
      </c>
      <c r="D135" s="28">
        <v>70132</v>
      </c>
      <c r="E135" s="28">
        <v>21987</v>
      </c>
      <c r="F135" s="28">
        <v>6258165</v>
      </c>
      <c r="G135" s="28">
        <v>0</v>
      </c>
      <c r="N135" s="28">
        <v>24450</v>
      </c>
      <c r="U135" s="28">
        <v>5.93</v>
      </c>
      <c r="V135" s="28">
        <v>14444487</v>
      </c>
      <c r="W135" s="28">
        <v>313170</v>
      </c>
      <c r="X135" s="28">
        <v>327113</v>
      </c>
    </row>
    <row r="136" spans="1:24" x14ac:dyDescent="0.3">
      <c r="A136">
        <v>135</v>
      </c>
      <c r="B136">
        <f t="shared" si="7"/>
        <v>14</v>
      </c>
      <c r="C136" s="12">
        <f t="shared" si="8"/>
        <v>343000</v>
      </c>
      <c r="D136" s="28">
        <v>212079</v>
      </c>
      <c r="E136" s="28">
        <v>102346</v>
      </c>
      <c r="F136" s="28">
        <v>17290965</v>
      </c>
      <c r="G136" s="28">
        <v>0</v>
      </c>
      <c r="N136" s="28">
        <v>24500</v>
      </c>
      <c r="U136" s="28">
        <v>5.47</v>
      </c>
      <c r="V136" s="28">
        <v>24289084</v>
      </c>
      <c r="W136" s="28">
        <v>736318</v>
      </c>
      <c r="X136" s="28">
        <v>762936</v>
      </c>
    </row>
    <row r="137" spans="1:24" x14ac:dyDescent="0.3">
      <c r="A137">
        <v>136</v>
      </c>
      <c r="B137">
        <f t="shared" si="7"/>
        <v>14</v>
      </c>
      <c r="C137" s="12">
        <f t="shared" si="8"/>
        <v>343700</v>
      </c>
      <c r="D137" s="28">
        <v>347842</v>
      </c>
      <c r="E137" s="28">
        <v>313123</v>
      </c>
      <c r="F137" s="28">
        <v>21164420</v>
      </c>
      <c r="G137" s="28">
        <v>2</v>
      </c>
      <c r="N137" s="28">
        <v>24550</v>
      </c>
      <c r="U137" s="28">
        <v>5.56</v>
      </c>
      <c r="V137" s="28">
        <v>15708636</v>
      </c>
      <c r="W137" s="28">
        <v>525267</v>
      </c>
      <c r="X137" s="28">
        <v>527779</v>
      </c>
    </row>
    <row r="138" spans="1:24" x14ac:dyDescent="0.3">
      <c r="A138">
        <v>137</v>
      </c>
      <c r="B138">
        <f t="shared" si="7"/>
        <v>14</v>
      </c>
      <c r="C138" s="12">
        <f t="shared" si="8"/>
        <v>344400</v>
      </c>
      <c r="D138" s="28">
        <v>588573</v>
      </c>
      <c r="E138" s="28">
        <v>497255</v>
      </c>
      <c r="F138" s="28">
        <v>23266494</v>
      </c>
      <c r="G138" s="28">
        <v>3</v>
      </c>
      <c r="N138" s="28">
        <v>24600</v>
      </c>
      <c r="U138" s="28">
        <v>6.93</v>
      </c>
      <c r="V138" s="28">
        <v>7588917</v>
      </c>
      <c r="W138" s="28">
        <v>269511</v>
      </c>
      <c r="X138" s="28">
        <v>273733</v>
      </c>
    </row>
    <row r="139" spans="1:24" x14ac:dyDescent="0.3">
      <c r="A139">
        <v>138</v>
      </c>
      <c r="B139">
        <f t="shared" si="7"/>
        <v>14</v>
      </c>
      <c r="C139" s="12">
        <f t="shared" si="8"/>
        <v>345100</v>
      </c>
      <c r="D139" s="28">
        <v>332720</v>
      </c>
      <c r="E139" s="28">
        <v>294919</v>
      </c>
      <c r="F139" s="28">
        <v>14960350</v>
      </c>
      <c r="G139" s="28">
        <v>4</v>
      </c>
      <c r="N139" s="28">
        <v>24650</v>
      </c>
      <c r="U139" s="28">
        <v>9.17</v>
      </c>
      <c r="V139" s="28">
        <v>1652111</v>
      </c>
      <c r="W139" s="28">
        <v>51291</v>
      </c>
      <c r="X139" s="28">
        <v>52169</v>
      </c>
    </row>
    <row r="140" spans="1:24" x14ac:dyDescent="0.3">
      <c r="A140">
        <v>139</v>
      </c>
      <c r="B140">
        <f t="shared" ref="B140:B161" si="9">B130+1</f>
        <v>14</v>
      </c>
      <c r="C140" s="12">
        <f t="shared" si="8"/>
        <v>345800</v>
      </c>
      <c r="D140" s="28">
        <v>230843</v>
      </c>
      <c r="E140" s="28">
        <v>165933</v>
      </c>
      <c r="F140" s="28">
        <v>10354406</v>
      </c>
      <c r="G140" s="28">
        <v>5</v>
      </c>
      <c r="N140" s="28">
        <v>24700</v>
      </c>
      <c r="U140" s="28">
        <v>11.85</v>
      </c>
      <c r="V140" s="28">
        <v>1107181</v>
      </c>
      <c r="W140" s="28">
        <v>32642</v>
      </c>
      <c r="X140" s="28">
        <v>36509</v>
      </c>
    </row>
    <row r="141" spans="1:24" x14ac:dyDescent="0.3">
      <c r="A141">
        <v>140</v>
      </c>
      <c r="B141">
        <f t="shared" si="9"/>
        <v>14</v>
      </c>
      <c r="C141" s="12">
        <f t="shared" si="8"/>
        <v>346500</v>
      </c>
      <c r="D141" s="28">
        <v>130965</v>
      </c>
      <c r="E141" s="28">
        <v>95577</v>
      </c>
      <c r="F141" s="28">
        <v>4708287</v>
      </c>
      <c r="G141" s="28">
        <v>6</v>
      </c>
      <c r="N141" s="28">
        <v>24750</v>
      </c>
      <c r="U141" s="28">
        <v>14.23</v>
      </c>
      <c r="V141" s="28">
        <v>227797</v>
      </c>
      <c r="W141" s="28">
        <v>6719</v>
      </c>
      <c r="X141" s="28">
        <v>7335</v>
      </c>
    </row>
    <row r="142" spans="1:24" x14ac:dyDescent="0.3">
      <c r="A142">
        <v>141</v>
      </c>
      <c r="B142">
        <f t="shared" si="9"/>
        <v>15</v>
      </c>
      <c r="C142" s="12">
        <f t="shared" si="8"/>
        <v>364500</v>
      </c>
      <c r="D142" s="28">
        <v>27527</v>
      </c>
      <c r="E142" s="28">
        <v>-23296</v>
      </c>
      <c r="F142" s="28">
        <v>1148017</v>
      </c>
      <c r="G142" s="28">
        <v>0</v>
      </c>
      <c r="N142" s="28">
        <v>24300</v>
      </c>
      <c r="U142" s="28">
        <v>9.43</v>
      </c>
      <c r="V142" s="28">
        <v>6674819</v>
      </c>
      <c r="W142" s="28">
        <v>142856</v>
      </c>
      <c r="X142" s="28">
        <v>230956</v>
      </c>
    </row>
    <row r="143" spans="1:24" x14ac:dyDescent="0.3">
      <c r="A143">
        <v>142</v>
      </c>
      <c r="B143">
        <f t="shared" si="9"/>
        <v>15</v>
      </c>
      <c r="C143" s="12">
        <f t="shared" si="8"/>
        <v>365250</v>
      </c>
      <c r="D143" s="28">
        <v>19185</v>
      </c>
      <c r="E143" s="28">
        <v>-12803</v>
      </c>
      <c r="F143" s="28">
        <v>1264317</v>
      </c>
      <c r="G143" s="28">
        <v>0</v>
      </c>
      <c r="N143" s="28">
        <v>24350</v>
      </c>
      <c r="U143" s="28">
        <v>8.11</v>
      </c>
      <c r="V143" s="28">
        <v>6852468</v>
      </c>
      <c r="W143" s="28">
        <v>133134</v>
      </c>
      <c r="X143" s="28">
        <v>165116</v>
      </c>
    </row>
    <row r="144" spans="1:24" x14ac:dyDescent="0.3">
      <c r="A144">
        <v>143</v>
      </c>
      <c r="B144">
        <f t="shared" si="9"/>
        <v>15</v>
      </c>
      <c r="C144" s="12">
        <f t="shared" si="8"/>
        <v>366000</v>
      </c>
      <c r="D144" s="28">
        <v>61787</v>
      </c>
      <c r="E144" s="28">
        <v>-19261</v>
      </c>
      <c r="F144" s="28">
        <v>4355972</v>
      </c>
      <c r="G144" s="28">
        <v>0</v>
      </c>
      <c r="N144" s="28">
        <v>24400</v>
      </c>
      <c r="U144" s="28">
        <v>6.94</v>
      </c>
      <c r="V144" s="28">
        <v>13364036</v>
      </c>
      <c r="W144" s="28">
        <v>335038</v>
      </c>
      <c r="X144" s="28">
        <v>379489</v>
      </c>
    </row>
    <row r="145" spans="1:24" x14ac:dyDescent="0.3">
      <c r="A145">
        <v>144</v>
      </c>
      <c r="B145">
        <f t="shared" si="9"/>
        <v>15</v>
      </c>
      <c r="C145" s="12">
        <f t="shared" si="8"/>
        <v>366750</v>
      </c>
      <c r="D145" s="28">
        <v>72602</v>
      </c>
      <c r="E145" s="28">
        <v>24457</v>
      </c>
      <c r="F145" s="28">
        <v>6205605</v>
      </c>
      <c r="G145" s="28">
        <v>0</v>
      </c>
      <c r="N145" s="28">
        <v>24450</v>
      </c>
      <c r="U145" s="28">
        <v>5.93</v>
      </c>
      <c r="V145" s="28">
        <v>14235721</v>
      </c>
      <c r="W145" s="28">
        <v>313480</v>
      </c>
      <c r="X145" s="28">
        <v>327423</v>
      </c>
    </row>
    <row r="146" spans="1:24" x14ac:dyDescent="0.3">
      <c r="A146">
        <v>145</v>
      </c>
      <c r="B146">
        <f t="shared" si="9"/>
        <v>15</v>
      </c>
      <c r="C146" s="12">
        <f t="shared" si="8"/>
        <v>367500</v>
      </c>
      <c r="D146" s="28">
        <v>227857</v>
      </c>
      <c r="E146" s="28">
        <v>118124</v>
      </c>
      <c r="F146" s="28">
        <v>17051990</v>
      </c>
      <c r="G146" s="28">
        <v>0</v>
      </c>
      <c r="N146" s="28">
        <v>24500</v>
      </c>
      <c r="U146" s="28">
        <v>5.47</v>
      </c>
      <c r="V146" s="28">
        <v>23774510</v>
      </c>
      <c r="W146" s="28">
        <v>716593</v>
      </c>
      <c r="X146" s="28">
        <v>743211</v>
      </c>
    </row>
    <row r="147" spans="1:24" x14ac:dyDescent="0.3">
      <c r="A147">
        <v>146</v>
      </c>
      <c r="B147">
        <f t="shared" si="9"/>
        <v>15</v>
      </c>
      <c r="C147" s="12">
        <f t="shared" si="8"/>
        <v>368250</v>
      </c>
      <c r="D147" s="28">
        <v>360094</v>
      </c>
      <c r="E147" s="28">
        <v>325375</v>
      </c>
      <c r="F147" s="28">
        <v>20670060</v>
      </c>
      <c r="G147" s="28">
        <v>2</v>
      </c>
      <c r="N147" s="28">
        <v>24550</v>
      </c>
      <c r="U147" s="28">
        <v>5.56</v>
      </c>
      <c r="V147" s="28">
        <v>15091651</v>
      </c>
      <c r="W147" s="28">
        <v>498260</v>
      </c>
      <c r="X147" s="28">
        <v>500772</v>
      </c>
    </row>
    <row r="148" spans="1:24" x14ac:dyDescent="0.3">
      <c r="A148">
        <v>147</v>
      </c>
      <c r="B148">
        <f t="shared" si="9"/>
        <v>15</v>
      </c>
      <c r="C148" s="12">
        <f t="shared" si="8"/>
        <v>369000</v>
      </c>
      <c r="D148" s="28">
        <v>566919</v>
      </c>
      <c r="E148" s="28">
        <v>475601</v>
      </c>
      <c r="F148" s="28">
        <v>22356959</v>
      </c>
      <c r="G148" s="28">
        <v>3</v>
      </c>
      <c r="N148" s="28">
        <v>24600</v>
      </c>
      <c r="U148" s="28">
        <v>6.93</v>
      </c>
      <c r="V148" s="28">
        <v>7237447</v>
      </c>
      <c r="W148" s="28">
        <v>250933</v>
      </c>
      <c r="X148" s="28">
        <v>255155</v>
      </c>
    </row>
    <row r="149" spans="1:24" x14ac:dyDescent="0.3">
      <c r="A149">
        <v>148</v>
      </c>
      <c r="B149">
        <f t="shared" si="9"/>
        <v>15</v>
      </c>
      <c r="C149" s="12">
        <f t="shared" si="8"/>
        <v>369750</v>
      </c>
      <c r="D149" s="28">
        <v>306847</v>
      </c>
      <c r="E149" s="28">
        <v>269046</v>
      </c>
      <c r="F149" s="28">
        <v>14286765</v>
      </c>
      <c r="G149" s="28">
        <v>4</v>
      </c>
      <c r="N149" s="28">
        <v>24650</v>
      </c>
      <c r="U149" s="28">
        <v>9.17</v>
      </c>
      <c r="V149" s="28">
        <v>1583684</v>
      </c>
      <c r="W149" s="28">
        <v>50613</v>
      </c>
      <c r="X149" s="28">
        <v>51491</v>
      </c>
    </row>
    <row r="150" spans="1:24" x14ac:dyDescent="0.3">
      <c r="A150">
        <v>149</v>
      </c>
      <c r="B150">
        <f t="shared" si="9"/>
        <v>15</v>
      </c>
      <c r="C150" s="12">
        <f t="shared" si="8"/>
        <v>370500</v>
      </c>
      <c r="D150" s="28">
        <v>234160</v>
      </c>
      <c r="E150" s="28">
        <v>169250</v>
      </c>
      <c r="F150" s="28">
        <v>10002865</v>
      </c>
      <c r="G150" s="28">
        <v>5</v>
      </c>
      <c r="N150" s="28">
        <v>24700</v>
      </c>
      <c r="U150" s="28">
        <v>11.85</v>
      </c>
      <c r="V150" s="28">
        <v>1074057</v>
      </c>
      <c r="W150" s="28">
        <v>34545</v>
      </c>
      <c r="X150" s="28">
        <v>38412</v>
      </c>
    </row>
    <row r="151" spans="1:24" x14ac:dyDescent="0.3">
      <c r="A151">
        <v>150</v>
      </c>
      <c r="B151">
        <f t="shared" si="9"/>
        <v>15</v>
      </c>
      <c r="C151" s="12">
        <f t="shared" si="8"/>
        <v>371250</v>
      </c>
      <c r="D151" s="28">
        <v>129929</v>
      </c>
      <c r="E151" s="28">
        <v>94541</v>
      </c>
      <c r="F151" s="28">
        <v>4625576</v>
      </c>
      <c r="G151" s="28">
        <v>6</v>
      </c>
      <c r="N151" s="28">
        <v>24750</v>
      </c>
      <c r="U151" s="28">
        <v>14.23</v>
      </c>
      <c r="V151" s="28">
        <v>218772</v>
      </c>
      <c r="W151" s="28">
        <v>6345</v>
      </c>
      <c r="X151" s="28">
        <v>6961</v>
      </c>
    </row>
    <row r="152" spans="1:24" x14ac:dyDescent="0.3">
      <c r="A152">
        <v>151</v>
      </c>
      <c r="B152">
        <f t="shared" si="9"/>
        <v>16</v>
      </c>
      <c r="C152" s="12">
        <f t="shared" si="8"/>
        <v>388800</v>
      </c>
      <c r="D152" s="28">
        <v>29120</v>
      </c>
      <c r="E152" s="28">
        <v>-21703</v>
      </c>
      <c r="F152" s="28">
        <v>1137230</v>
      </c>
      <c r="G152" s="28">
        <v>0</v>
      </c>
      <c r="N152" s="28">
        <v>24300</v>
      </c>
      <c r="U152" s="28">
        <v>9.43</v>
      </c>
      <c r="V152" s="28">
        <v>6611882</v>
      </c>
      <c r="W152" s="28">
        <v>155425</v>
      </c>
      <c r="X152" s="28">
        <v>243525</v>
      </c>
    </row>
    <row r="153" spans="1:24" x14ac:dyDescent="0.3">
      <c r="A153">
        <v>152</v>
      </c>
      <c r="B153">
        <f t="shared" si="9"/>
        <v>16</v>
      </c>
      <c r="C153" s="12">
        <f t="shared" si="8"/>
        <v>389600</v>
      </c>
      <c r="D153" s="28">
        <v>22062</v>
      </c>
      <c r="E153" s="28">
        <v>-9926</v>
      </c>
      <c r="F153" s="28">
        <v>1254085</v>
      </c>
      <c r="G153" s="28">
        <v>0</v>
      </c>
      <c r="N153" s="28">
        <v>24350</v>
      </c>
      <c r="U153" s="28">
        <v>8.11</v>
      </c>
      <c r="V153" s="28">
        <v>6788361</v>
      </c>
      <c r="W153" s="28">
        <v>151009</v>
      </c>
      <c r="X153" s="28">
        <v>182991</v>
      </c>
    </row>
    <row r="154" spans="1:24" x14ac:dyDescent="0.3">
      <c r="A154">
        <v>153</v>
      </c>
      <c r="B154">
        <f t="shared" si="9"/>
        <v>16</v>
      </c>
      <c r="C154" s="12">
        <f t="shared" si="8"/>
        <v>390400</v>
      </c>
      <c r="D154" s="28">
        <v>69626</v>
      </c>
      <c r="E154" s="28">
        <v>-11422</v>
      </c>
      <c r="F154" s="28">
        <v>4285068</v>
      </c>
      <c r="G154" s="28">
        <v>0</v>
      </c>
      <c r="N154" s="28">
        <v>24400</v>
      </c>
      <c r="U154" s="28">
        <v>6.94</v>
      </c>
      <c r="V154" s="28">
        <v>13165401</v>
      </c>
      <c r="W154" s="28">
        <v>388915</v>
      </c>
      <c r="X154" s="28">
        <v>433366</v>
      </c>
    </row>
    <row r="155" spans="1:24" x14ac:dyDescent="0.3">
      <c r="A155">
        <v>154</v>
      </c>
      <c r="B155">
        <f t="shared" si="9"/>
        <v>16</v>
      </c>
      <c r="C155" s="12">
        <f t="shared" si="8"/>
        <v>391200</v>
      </c>
      <c r="D155" s="28">
        <v>97408</v>
      </c>
      <c r="E155" s="28">
        <v>49263</v>
      </c>
      <c r="F155" s="28">
        <v>6114632</v>
      </c>
      <c r="G155" s="28">
        <v>0</v>
      </c>
      <c r="N155" s="28">
        <v>24450</v>
      </c>
      <c r="U155" s="28">
        <v>5.93</v>
      </c>
      <c r="V155" s="28">
        <v>13900739</v>
      </c>
      <c r="W155" s="28">
        <v>391548</v>
      </c>
      <c r="X155" s="28">
        <v>405491</v>
      </c>
    </row>
    <row r="156" spans="1:24" x14ac:dyDescent="0.3">
      <c r="A156">
        <v>155</v>
      </c>
      <c r="B156">
        <f t="shared" si="9"/>
        <v>16</v>
      </c>
      <c r="C156" s="12">
        <f t="shared" si="8"/>
        <v>392000</v>
      </c>
      <c r="D156" s="28">
        <v>325215</v>
      </c>
      <c r="E156" s="28">
        <v>215482</v>
      </c>
      <c r="F156" s="28">
        <v>16649272</v>
      </c>
      <c r="G156" s="28">
        <v>0</v>
      </c>
      <c r="N156" s="28">
        <v>24500</v>
      </c>
      <c r="U156" s="28">
        <v>5.47</v>
      </c>
      <c r="V156" s="28">
        <v>22993380</v>
      </c>
      <c r="W156" s="28">
        <v>784149</v>
      </c>
      <c r="X156" s="28">
        <v>810767</v>
      </c>
    </row>
    <row r="157" spans="1:24" x14ac:dyDescent="0.3">
      <c r="A157">
        <v>156</v>
      </c>
      <c r="B157">
        <f t="shared" si="9"/>
        <v>16</v>
      </c>
      <c r="C157" s="12">
        <f t="shared" si="8"/>
        <v>392800</v>
      </c>
      <c r="D157" s="28">
        <v>551068</v>
      </c>
      <c r="E157" s="28">
        <v>516349</v>
      </c>
      <c r="F157" s="28">
        <v>19753700</v>
      </c>
      <c r="G157" s="28">
        <v>2</v>
      </c>
      <c r="N157" s="28">
        <v>24550</v>
      </c>
      <c r="U157" s="28">
        <v>5.56</v>
      </c>
      <c r="V157" s="28">
        <v>14248737</v>
      </c>
      <c r="W157" s="28">
        <v>385520</v>
      </c>
      <c r="X157" s="28">
        <v>388032</v>
      </c>
    </row>
    <row r="158" spans="1:24" x14ac:dyDescent="0.3">
      <c r="A158">
        <v>157</v>
      </c>
      <c r="B158">
        <f t="shared" si="9"/>
        <v>16</v>
      </c>
      <c r="C158" s="12">
        <f t="shared" si="8"/>
        <v>393600</v>
      </c>
      <c r="D158" s="28">
        <v>607847</v>
      </c>
      <c r="E158" s="28">
        <v>516529</v>
      </c>
      <c r="F158" s="28">
        <v>21050558</v>
      </c>
      <c r="G158" s="28">
        <v>3</v>
      </c>
      <c r="N158" s="28">
        <v>24600</v>
      </c>
      <c r="U158" s="28">
        <v>6.93</v>
      </c>
      <c r="V158" s="28">
        <v>6796466</v>
      </c>
      <c r="W158" s="28">
        <v>175091</v>
      </c>
      <c r="X158" s="28">
        <v>179313</v>
      </c>
    </row>
    <row r="159" spans="1:24" x14ac:dyDescent="0.3">
      <c r="A159">
        <v>158</v>
      </c>
      <c r="B159">
        <f t="shared" si="9"/>
        <v>16</v>
      </c>
      <c r="C159" s="12">
        <f t="shared" si="8"/>
        <v>394400</v>
      </c>
      <c r="D159" s="28">
        <v>247643</v>
      </c>
      <c r="E159" s="28">
        <v>209842</v>
      </c>
      <c r="F159" s="28">
        <v>13512560</v>
      </c>
      <c r="G159" s="28">
        <v>4</v>
      </c>
      <c r="N159" s="28">
        <v>24650</v>
      </c>
      <c r="U159" s="28">
        <v>9.17</v>
      </c>
      <c r="V159" s="28">
        <v>1503975</v>
      </c>
      <c r="W159" s="28">
        <v>30843</v>
      </c>
      <c r="X159" s="28">
        <v>31721</v>
      </c>
    </row>
    <row r="160" spans="1:24" x14ac:dyDescent="0.3">
      <c r="A160">
        <v>159</v>
      </c>
      <c r="B160">
        <f t="shared" si="9"/>
        <v>16</v>
      </c>
      <c r="C160" s="12">
        <f t="shared" si="8"/>
        <v>395200</v>
      </c>
      <c r="D160" s="28">
        <v>233294</v>
      </c>
      <c r="E160" s="28">
        <v>168384</v>
      </c>
      <c r="F160" s="28">
        <v>9614189</v>
      </c>
      <c r="G160" s="28">
        <v>5</v>
      </c>
      <c r="N160" s="28">
        <v>24700</v>
      </c>
      <c r="U160" s="28">
        <v>11.85</v>
      </c>
      <c r="V160" s="28">
        <v>1033074</v>
      </c>
      <c r="W160" s="28">
        <v>24144</v>
      </c>
      <c r="X160" s="28">
        <v>28011</v>
      </c>
    </row>
    <row r="161" spans="1:24" x14ac:dyDescent="0.3">
      <c r="A161">
        <v>160</v>
      </c>
      <c r="B161">
        <f t="shared" si="9"/>
        <v>16</v>
      </c>
      <c r="C161" s="12">
        <f t="shared" si="8"/>
        <v>396000</v>
      </c>
      <c r="D161" s="28">
        <v>137109</v>
      </c>
      <c r="E161" s="28">
        <v>101721</v>
      </c>
      <c r="F161" s="28">
        <v>4526111</v>
      </c>
      <c r="G161" s="28">
        <v>6</v>
      </c>
      <c r="N161" s="28">
        <v>24750</v>
      </c>
      <c r="U161" s="28">
        <v>14.23</v>
      </c>
      <c r="V161" s="28">
        <v>211659</v>
      </c>
      <c r="W161" s="28">
        <v>5061</v>
      </c>
      <c r="X161" s="28">
        <v>5677</v>
      </c>
    </row>
    <row r="162" spans="1:24" x14ac:dyDescent="0.3">
      <c r="D162" s="28">
        <v>29586</v>
      </c>
      <c r="E162" s="28">
        <v>-21237</v>
      </c>
      <c r="F162" s="28">
        <v>1130239</v>
      </c>
      <c r="G162" s="28">
        <v>0</v>
      </c>
      <c r="N162" s="28">
        <v>24300</v>
      </c>
      <c r="U162" s="28">
        <v>9.7899999999999991</v>
      </c>
      <c r="V162" s="28">
        <v>6526717</v>
      </c>
      <c r="W162" s="28">
        <v>152100</v>
      </c>
      <c r="X162" s="28">
        <v>240200</v>
      </c>
    </row>
    <row r="163" spans="1:24" x14ac:dyDescent="0.3">
      <c r="D163" s="28">
        <v>23624</v>
      </c>
      <c r="E163" s="28">
        <v>-8364</v>
      </c>
      <c r="F163" s="28">
        <v>1244202</v>
      </c>
      <c r="G163" s="28">
        <v>0</v>
      </c>
      <c r="N163" s="28">
        <v>24350</v>
      </c>
      <c r="U163" s="28">
        <v>8.6300000000000008</v>
      </c>
      <c r="V163" s="28">
        <v>6658688</v>
      </c>
      <c r="W163" s="28">
        <v>151562</v>
      </c>
      <c r="X163" s="28">
        <v>183544</v>
      </c>
    </row>
    <row r="164" spans="1:24" x14ac:dyDescent="0.3">
      <c r="D164" s="28">
        <v>74770</v>
      </c>
      <c r="E164" s="28">
        <v>-6278</v>
      </c>
      <c r="F164" s="28">
        <v>4251683</v>
      </c>
      <c r="G164" s="28">
        <v>0</v>
      </c>
      <c r="N164" s="28">
        <v>24400</v>
      </c>
      <c r="U164" s="28">
        <v>7.92</v>
      </c>
      <c r="V164" s="28">
        <v>12811802</v>
      </c>
      <c r="W164" s="28">
        <v>395588</v>
      </c>
      <c r="X164" s="28">
        <v>440039</v>
      </c>
    </row>
    <row r="165" spans="1:24" x14ac:dyDescent="0.3">
      <c r="D165" s="28">
        <v>105908</v>
      </c>
      <c r="E165" s="28">
        <v>57763</v>
      </c>
      <c r="F165" s="28">
        <v>6047365</v>
      </c>
      <c r="G165" s="28">
        <v>0</v>
      </c>
      <c r="N165" s="28">
        <v>24450</v>
      </c>
      <c r="U165" s="28">
        <v>7.25</v>
      </c>
      <c r="V165" s="28">
        <v>13462207</v>
      </c>
      <c r="W165" s="28">
        <v>434515</v>
      </c>
      <c r="X165" s="28">
        <v>448458</v>
      </c>
    </row>
    <row r="166" spans="1:24" x14ac:dyDescent="0.3">
      <c r="D166" s="28">
        <v>348861</v>
      </c>
      <c r="E166" s="28">
        <v>239128</v>
      </c>
      <c r="F166" s="28">
        <v>16350791</v>
      </c>
      <c r="G166" s="28">
        <v>0</v>
      </c>
      <c r="N166" s="28">
        <v>24500</v>
      </c>
      <c r="U166" s="28">
        <v>7.38</v>
      </c>
      <c r="V166" s="28">
        <v>22266015</v>
      </c>
      <c r="W166" s="28">
        <v>791031</v>
      </c>
      <c r="X166" s="28">
        <v>817649</v>
      </c>
    </row>
    <row r="167" spans="1:24" x14ac:dyDescent="0.3">
      <c r="D167" s="28">
        <v>557002</v>
      </c>
      <c r="E167" s="28">
        <v>522283</v>
      </c>
      <c r="F167" s="28">
        <v>19041055</v>
      </c>
      <c r="G167" s="28">
        <v>1</v>
      </c>
      <c r="N167" s="28">
        <v>24550</v>
      </c>
      <c r="U167" s="28">
        <v>8.32</v>
      </c>
      <c r="V167" s="28">
        <v>13671438</v>
      </c>
      <c r="W167" s="28">
        <v>361541</v>
      </c>
      <c r="X167" s="28">
        <v>364053</v>
      </c>
    </row>
    <row r="168" spans="1:24" x14ac:dyDescent="0.3">
      <c r="D168" s="28">
        <v>568771</v>
      </c>
      <c r="E168" s="28">
        <v>477453</v>
      </c>
      <c r="F168" s="28">
        <v>20176872</v>
      </c>
      <c r="G168" s="28">
        <v>3</v>
      </c>
      <c r="N168" s="28">
        <v>24600</v>
      </c>
      <c r="U168" s="28">
        <v>10.59</v>
      </c>
      <c r="V168" s="28">
        <v>6568440</v>
      </c>
      <c r="W168" s="28">
        <v>165571</v>
      </c>
      <c r="X168" s="28">
        <v>169793</v>
      </c>
    </row>
    <row r="169" spans="1:24" x14ac:dyDescent="0.3">
      <c r="D169" s="28">
        <v>233545</v>
      </c>
      <c r="E169" s="28">
        <v>195744</v>
      </c>
      <c r="F169" s="28">
        <v>12944091</v>
      </c>
      <c r="G169" s="28">
        <v>4</v>
      </c>
      <c r="N169" s="28">
        <v>24650</v>
      </c>
      <c r="U169" s="28">
        <v>13.73</v>
      </c>
      <c r="V169" s="28">
        <v>1462888</v>
      </c>
      <c r="W169" s="28">
        <v>29279</v>
      </c>
      <c r="X169" s="28">
        <v>30157</v>
      </c>
    </row>
    <row r="170" spans="1:24" x14ac:dyDescent="0.3">
      <c r="D170" s="28">
        <v>235170</v>
      </c>
      <c r="E170" s="28">
        <v>170260</v>
      </c>
      <c r="F170" s="28">
        <v>9492930</v>
      </c>
      <c r="G170" s="28">
        <v>5</v>
      </c>
      <c r="N170" s="28">
        <v>24700</v>
      </c>
      <c r="U170" s="28">
        <v>16.940000000000001</v>
      </c>
      <c r="V170" s="28">
        <v>1006560</v>
      </c>
      <c r="W170" s="28">
        <v>23704</v>
      </c>
      <c r="X170" s="28">
        <v>27571</v>
      </c>
    </row>
    <row r="171" spans="1:24" x14ac:dyDescent="0.3">
      <c r="D171" s="28">
        <v>136499</v>
      </c>
      <c r="E171" s="28">
        <v>101111</v>
      </c>
      <c r="F171" s="28">
        <v>4490175</v>
      </c>
      <c r="G171" s="28">
        <v>6</v>
      </c>
      <c r="N171" s="28">
        <v>24750</v>
      </c>
      <c r="U171" s="28">
        <v>19.36</v>
      </c>
      <c r="V171" s="28">
        <v>207107</v>
      </c>
      <c r="W171" s="28">
        <v>5006</v>
      </c>
      <c r="X171" s="28">
        <v>5622</v>
      </c>
    </row>
  </sheetData>
  <autoFilter ref="A1:V81" xr:uid="{00000000-0009-0000-0000-000003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T59"/>
  <sheetViews>
    <sheetView topLeftCell="S1" zoomScale="80" zoomScaleNormal="80" workbookViewId="0">
      <selection activeCell="AD2" sqref="AD2"/>
    </sheetView>
  </sheetViews>
  <sheetFormatPr defaultRowHeight="14.4" x14ac:dyDescent="0.3"/>
  <cols>
    <col min="1" max="1" width="9.33203125" style="28" bestFit="1" customWidth="1"/>
    <col min="2" max="2" width="10" style="28" customWidth="1"/>
    <col min="3" max="3" width="10.33203125" style="28" customWidth="1"/>
    <col min="4" max="4" width="13" style="28" customWidth="1"/>
    <col min="5" max="5" width="12" style="28" bestFit="1" customWidth="1"/>
    <col min="6" max="6" width="13" style="28" bestFit="1" customWidth="1"/>
    <col min="7" max="7" width="11.5546875" style="28" customWidth="1"/>
    <col min="8" max="8" width="9.33203125" style="28" bestFit="1" customWidth="1"/>
    <col min="9" max="10" width="8.6640625" style="28" bestFit="1" customWidth="1"/>
    <col min="11" max="11" width="12.6640625" style="28" bestFit="1" customWidth="1"/>
    <col min="12" max="12" width="12" style="28" bestFit="1" customWidth="1"/>
    <col min="14" max="14" width="12" style="28" bestFit="1" customWidth="1"/>
    <col min="15" max="15" width="9.33203125" style="28" bestFit="1" customWidth="1"/>
    <col min="16" max="16" width="8.6640625" style="28" bestFit="1" customWidth="1"/>
    <col min="17" max="17" width="9.88671875" style="28" bestFit="1" customWidth="1"/>
    <col min="18" max="18" width="12.6640625" style="28" bestFit="1" customWidth="1"/>
    <col min="19" max="19" width="12" style="28" bestFit="1" customWidth="1"/>
    <col min="21" max="21" width="12.109375" style="28" customWidth="1"/>
    <col min="22" max="22" width="13" style="28" bestFit="1" customWidth="1"/>
    <col min="23" max="23" width="8.6640625" style="28" bestFit="1" customWidth="1"/>
    <col min="24" max="24" width="8" style="28" customWidth="1"/>
    <col min="25" max="25" width="7.6640625" style="28" customWidth="1"/>
    <col min="26" max="26" width="9.33203125" style="28" customWidth="1"/>
    <col min="29" max="29" width="9.33203125" style="28" bestFit="1" customWidth="1"/>
    <col min="30" max="31" width="8.6640625" style="28" bestFit="1" customWidth="1"/>
    <col min="32" max="32" width="10" style="28" customWidth="1"/>
    <col min="33" max="33" width="9.88671875" style="28" customWidth="1"/>
    <col min="41" max="41" width="10.33203125" style="28" customWidth="1"/>
  </cols>
  <sheetData>
    <row r="1" spans="1:46" x14ac:dyDescent="0.3">
      <c r="A1" s="12">
        <f>Entry!$A$2-200</f>
        <v>24350</v>
      </c>
      <c r="B1" t="s">
        <v>30</v>
      </c>
      <c r="C1" t="s">
        <v>31</v>
      </c>
      <c r="D1" t="s">
        <v>32</v>
      </c>
      <c r="E1" t="s">
        <v>33</v>
      </c>
      <c r="F1" t="s">
        <v>4</v>
      </c>
      <c r="G1" t="s">
        <v>34</v>
      </c>
      <c r="H1" s="12">
        <f>Entry!$A$2-150</f>
        <v>24400</v>
      </c>
      <c r="I1" t="s">
        <v>30</v>
      </c>
      <c r="J1" t="s">
        <v>31</v>
      </c>
      <c r="K1" t="s">
        <v>32</v>
      </c>
      <c r="L1" t="s">
        <v>33</v>
      </c>
      <c r="M1" t="s">
        <v>4</v>
      </c>
      <c r="N1" t="s">
        <v>34</v>
      </c>
      <c r="O1" s="12">
        <f>Entry!$A$2-100</f>
        <v>24450</v>
      </c>
      <c r="P1" t="s">
        <v>30</v>
      </c>
      <c r="Q1" t="s">
        <v>31</v>
      </c>
      <c r="R1" t="s">
        <v>32</v>
      </c>
      <c r="S1" t="s">
        <v>33</v>
      </c>
      <c r="T1" t="s">
        <v>4</v>
      </c>
      <c r="U1" t="s">
        <v>34</v>
      </c>
      <c r="V1" s="12">
        <f>Entry!$A$2-50</f>
        <v>24500</v>
      </c>
      <c r="W1" t="s">
        <v>30</v>
      </c>
      <c r="X1" t="s">
        <v>31</v>
      </c>
      <c r="Y1" t="s">
        <v>32</v>
      </c>
      <c r="Z1" t="s">
        <v>33</v>
      </c>
      <c r="AA1" t="s">
        <v>4</v>
      </c>
      <c r="AB1" t="s">
        <v>34</v>
      </c>
      <c r="AC1" s="12">
        <f>Entry!$A$2</f>
        <v>24550</v>
      </c>
      <c r="AD1" t="s">
        <v>30</v>
      </c>
      <c r="AE1" t="s">
        <v>31</v>
      </c>
      <c r="AF1" t="s">
        <v>32</v>
      </c>
      <c r="AG1" t="s">
        <v>33</v>
      </c>
      <c r="AH1" t="s">
        <v>4</v>
      </c>
      <c r="AI1" t="s">
        <v>34</v>
      </c>
      <c r="AK1" s="12"/>
      <c r="AL1" s="12"/>
    </row>
    <row r="2" spans="1:46" x14ac:dyDescent="0.3">
      <c r="A2">
        <v>1</v>
      </c>
      <c r="B2">
        <f>IF(ISNUMBER(VLOOKUP($A$1*A2,Data!$C$1:$D$81,2,FALSE)*25)=TRUE,VLOOKUP($A$1*A2,Data!$C$1:$D$81,2,FALSE)*25,0)</f>
        <v>0</v>
      </c>
      <c r="C2">
        <f>IF(ISNUMBER(VLOOKUP($A$1*A2,Data!$C$1:$X$81,22,FALSE)*25)=TRUE,VLOOKUP($A$1*A2,Data!$C$1:$X$81,22,FALSE)*25,0)</f>
        <v>0</v>
      </c>
      <c r="D2">
        <f>IF(ISNUMBER(VLOOKUP($A$1*A2,Data!$C$1:$X$81,3,FALSE)*25)=TRUE,VLOOKUP($A$1*A2,Data!$C$1:$X$81,3,FALSE)*25,0)</f>
        <v>0</v>
      </c>
      <c r="E2">
        <f>IF(ISNUMBER(VLOOKUP($A$1*A2,Data!$C$1:$X$81,21,FALSE)*25)=TRUE,VLOOKUP($A$1*A2,Data!$C$1:$X$81,21,FALSE)*25,0)</f>
        <v>0</v>
      </c>
      <c r="F2" t="e">
        <f t="shared" ref="F2:F9" si="0">C2/B2</f>
        <v>#DIV/0!</v>
      </c>
      <c r="G2" t="e">
        <f t="shared" ref="G2:G9" si="1">IF(E2&lt;0, IF(D2&lt;0,D2/E2,-10),IF(D2&lt;0,10,E2/D2))</f>
        <v>#DIV/0!</v>
      </c>
      <c r="H2">
        <v>1</v>
      </c>
      <c r="I2">
        <f>IF(ISNUMBER(VLOOKUP($H$1*H2,Data!$C$1:$D$81,2,FALSE)*25)=TRUE,VLOOKUP($H$1*H2,Data!$C$1:$D$81,2,FALSE)*25,0)</f>
        <v>0</v>
      </c>
      <c r="J2">
        <f>IF(ISNUMBER(VLOOKUP($H$1*H2,Data!$C$1:$X$81,22,FALSE)*25)=TRUE,VLOOKUP($H$1*H2,Data!$C$1:$X$81,22,FALSE)*25,0)</f>
        <v>0</v>
      </c>
      <c r="K2">
        <f>IF(ISNUMBER(VLOOKUP($H$1*H2,Data!$C$1:$X$81,3,FALSE)*25)=TRUE,VLOOKUP($H$1*H2,Data!$C$1:$X$81,3,FALSE)*25,0)</f>
        <v>0</v>
      </c>
      <c r="L2">
        <f>IF(ISNUMBER(VLOOKUP($H$1*H2,Data!$C$1:$X$81,21,FALSE)*25)=TRUE,VLOOKUP($H$1*H2,Data!$C$1:$X$81,21,FALSE)*25,0)</f>
        <v>0</v>
      </c>
      <c r="M2" t="e">
        <f t="shared" ref="M2:M9" si="2">J2/I2</f>
        <v>#DIV/0!</v>
      </c>
      <c r="N2" t="e">
        <f t="shared" ref="N2:N9" si="3">IF(L2&lt;0, IF(K2&lt;0,K2/L2,-10),IF(K2&lt;0,10,L2/K2))</f>
        <v>#DIV/0!</v>
      </c>
      <c r="O2">
        <v>1</v>
      </c>
      <c r="P2">
        <f>IF(ISNUMBER(VLOOKUP($O$1*O2,Data!$C$1:$D$81,2,FALSE)*25)=TRUE,VLOOKUP($O$1*O2,Data!$C$1:$D$81,2,FALSE)*25,0)</f>
        <v>0</v>
      </c>
      <c r="Q2">
        <f>IF(ISNUMBER(VLOOKUP($O$1*O2,Data!$C$1:$X$81,22,FALSE)*25)=TRUE,VLOOKUP($O$1*O2,Data!$C$1:$X$81,22,FALSE)*25,0)</f>
        <v>0</v>
      </c>
      <c r="R2">
        <f>IF(ISNUMBER(VLOOKUP($O$1*O2,Data!$C$1:$X$81,3,FALSE)*25)=TRUE,VLOOKUP($O$1*O2,Data!$C$1:$X$81,3,FALSE)*25,0)</f>
        <v>0</v>
      </c>
      <c r="S2">
        <f>IF(ISNUMBER(VLOOKUP($O$1*O2,Data!$C$1:$X$81,21,FALSE)*25)=TRUE,VLOOKUP($O$1*O2,Data!$C$1:$X$81,21,FALSE)*25,0)</f>
        <v>0</v>
      </c>
      <c r="T2" t="e">
        <f t="shared" ref="T2:T9" si="4">Q2/P2</f>
        <v>#DIV/0!</v>
      </c>
      <c r="U2" t="e">
        <f t="shared" ref="U2:U9" si="5">IF(S2&lt;0, IF(R2&lt;0,R2/S2,-10),IF(R2&lt;0,10,S2/R2))</f>
        <v>#DIV/0!</v>
      </c>
      <c r="V2">
        <v>1</v>
      </c>
      <c r="W2">
        <f>IF(ISNUMBER(VLOOKUP($V$1*V2,Data!$C$1:$D$81,2,FALSE)*25)=TRUE,VLOOKUP($V$1*V2,Data!$C$1:$D$81,2,FALSE)*25,0)</f>
        <v>0</v>
      </c>
      <c r="X2">
        <f>IF(ISNUMBER(VLOOKUP($V$1*V2,Data!$C$1:$X$81,22,FALSE)*25)=TRUE,VLOOKUP($V$1*V2,Data!$C$1:$X$81,22,FALSE)*25,0)</f>
        <v>0</v>
      </c>
      <c r="Y2">
        <f>IF(ISNUMBER(VLOOKUP($V$1*V2,Data!$C$1:$X$81,3,FALSE)*25)=TRUE,VLOOKUP($V$1*V2,Data!$C$1:$X$81,3,FALSE)*25,0)</f>
        <v>0</v>
      </c>
      <c r="Z2">
        <f>IF(ISNUMBER(VLOOKUP($V$1*V2,Data!$C$1:$X$81,21,FALSE)*25)=TRUE,VLOOKUP($V$1*V2,Data!$C$1:$X$81,21,FALSE)*25,0)</f>
        <v>0</v>
      </c>
      <c r="AA2" t="e">
        <f t="shared" ref="AA2:AA9" si="6">X2/W2</f>
        <v>#DIV/0!</v>
      </c>
      <c r="AB2" t="e">
        <f t="shared" ref="AB2:AB9" si="7">IF(Z2&lt;0, IF(Y2&lt;0,Y2/Z2,-10),IF(Y2&lt;0,10,Z2/Y2))</f>
        <v>#DIV/0!</v>
      </c>
      <c r="AC2">
        <v>1</v>
      </c>
      <c r="AD2">
        <f>IF(ISNUMBER(VLOOKUP($AC$1*AC2,Data!$C$1:$D$161,2,FALSE)*25)=TRUE,VLOOKUP($AC$1*AC2,Data!$C$1:$D$161,2,FALSE)*25,0)</f>
        <v>0</v>
      </c>
      <c r="AE2">
        <f>IF(ISNUMBER(VLOOKUP($AC$1*AC2,Data!$C$1:$X$161,22,FALSE)*25)=TRUE,VLOOKUP($AC$1*AC2,Data!$C$1:$X$161,22,FALSE)*25,0)</f>
        <v>0</v>
      </c>
      <c r="AF2">
        <f>IF(ISNUMBER(VLOOKUP($AC$1*AC2,Data!$C$1:$X$161,3,FALSE)*25)=TRUE,VLOOKUP($AC$1*AC2,Data!$C$1:$X$161,3,FALSE)*25,0)</f>
        <v>0</v>
      </c>
      <c r="AG2">
        <f>IF(ISNUMBER(VLOOKUP($AC$1*AC2,Data!$C$1:$X$161,21,FALSE)*25)=TRUE,VLOOKUP($AC$1*AC2,Data!$C$1:$X$161,21,FALSE)*25,0)</f>
        <v>0</v>
      </c>
      <c r="AH2" t="e">
        <f t="shared" ref="AH2:AH17" si="8">AE2/AD2</f>
        <v>#DIV/0!</v>
      </c>
      <c r="AI2" t="e">
        <f t="shared" ref="AI2:AI17" si="9">IF(AG2&lt;0, IF(AF2&lt;0,AF2/AG2,-10),IF(AF2&lt;0,10,AG2/AF2))</f>
        <v>#DIV/0!</v>
      </c>
      <c r="AM2" s="12"/>
      <c r="AO2" s="12"/>
      <c r="AS2" s="23"/>
      <c r="AT2" s="23"/>
    </row>
    <row r="3" spans="1:46" x14ac:dyDescent="0.3">
      <c r="A3">
        <v>2</v>
      </c>
      <c r="B3">
        <f>IF(ISNUMBER(VLOOKUP($A$1*A3,Data!$C$1:$D$81,2,FALSE)*25)=TRUE,VLOOKUP($A$1*A3,Data!$C$1:$D$81,2,FALSE)*25,0)</f>
        <v>395625</v>
      </c>
      <c r="C3">
        <f>IF(ISNUMBER(VLOOKUP($A$1*A3,Data!$C$1:$X$81,22,FALSE)*25)=TRUE,VLOOKUP($A$1*A3,Data!$C$1:$X$81,22,FALSE)*25,0)</f>
        <v>3034275</v>
      </c>
      <c r="D3">
        <f>IF(ISNUMBER(VLOOKUP($A$1*A3,Data!$C$1:$X$81,3,FALSE)*25)=TRUE,VLOOKUP($A$1*A3,Data!$C$1:$X$81,3,FALSE)*25,0)</f>
        <v>-404075</v>
      </c>
      <c r="E3">
        <f>IF(ISNUMBER(VLOOKUP($A$1*A3,Data!$C$1:$X$81,21,FALSE)*25)=TRUE,VLOOKUP($A$1*A3,Data!$C$1:$X$81,21,FALSE)*25,0)</f>
        <v>2234725</v>
      </c>
      <c r="F3">
        <f t="shared" si="0"/>
        <v>7.6695734597156395</v>
      </c>
      <c r="G3">
        <f t="shared" si="1"/>
        <v>10</v>
      </c>
      <c r="H3">
        <v>2</v>
      </c>
      <c r="I3">
        <f>IF(ISNUMBER(VLOOKUP($H$1*H3,Data!$C$1:$D$81,2,FALSE)*25)=TRUE,VLOOKUP($H$1*H3,Data!$C$1:$D$81,2,FALSE)*25,0)</f>
        <v>901975</v>
      </c>
      <c r="J3">
        <f>IF(ISNUMBER(VLOOKUP($H$1*H3,Data!$C$1:$X$81,22,FALSE)*25)=TRUE,VLOOKUP($H$1*H3,Data!$C$1:$X$81,22,FALSE)*25,0)</f>
        <v>5791150</v>
      </c>
      <c r="K3">
        <f>IF(ISNUMBER(VLOOKUP($H$1*H3,Data!$C$1:$X$81,3,FALSE)*25)=TRUE,VLOOKUP($H$1*H3,Data!$C$1:$X$81,3,FALSE)*25,0)</f>
        <v>-1124225</v>
      </c>
      <c r="L3">
        <f>IF(ISNUMBER(VLOOKUP($H$1*H3,Data!$C$1:$X$81,21,FALSE)*25)=TRUE,VLOOKUP($H$1*H3,Data!$C$1:$X$81,21,FALSE)*25,0)</f>
        <v>4679875</v>
      </c>
      <c r="M3">
        <f t="shared" si="2"/>
        <v>6.4205216330829566</v>
      </c>
      <c r="N3">
        <f t="shared" si="3"/>
        <v>10</v>
      </c>
      <c r="O3">
        <v>2</v>
      </c>
      <c r="P3">
        <f>IF(ISNUMBER(VLOOKUP($O$1*O3,Data!$C$1:$D$81,2,FALSE)*25)=TRUE,VLOOKUP($O$1*O3,Data!$C$1:$D$81,2,FALSE)*25,0)</f>
        <v>1223650</v>
      </c>
      <c r="Q3">
        <f>IF(ISNUMBER(VLOOKUP($O$1*O3,Data!$C$1:$X$81,22,FALSE)*25)=TRUE,VLOOKUP($O$1*O3,Data!$C$1:$X$81,22,FALSE)*25,0)</f>
        <v>5752675</v>
      </c>
      <c r="R3">
        <f>IF(ISNUMBER(VLOOKUP($O$1*O3,Data!$C$1:$X$81,3,FALSE)*25)=TRUE,VLOOKUP($O$1*O3,Data!$C$1:$X$81,3,FALSE)*25,0)</f>
        <v>20025</v>
      </c>
      <c r="S3">
        <f>IF(ISNUMBER(VLOOKUP($O$1*O3,Data!$C$1:$X$81,21,FALSE)*25)=TRUE,VLOOKUP($O$1*O3,Data!$C$1:$X$81,21,FALSE)*25,0)</f>
        <v>5404100</v>
      </c>
      <c r="T3">
        <f t="shared" si="4"/>
        <v>4.7012421852653947</v>
      </c>
      <c r="U3">
        <f t="shared" si="5"/>
        <v>269.8676654182272</v>
      </c>
      <c r="V3">
        <v>2</v>
      </c>
      <c r="W3">
        <f>IF(ISNUMBER(VLOOKUP($V$1*V3,Data!$C$1:$D$81,2,FALSE)*25)=TRUE,VLOOKUP($V$1*V3,Data!$C$1:$D$81,2,FALSE)*25,0)</f>
        <v>3329850</v>
      </c>
      <c r="X3">
        <f>IF(ISNUMBER(VLOOKUP($V$1*V3,Data!$C$1:$X$81,22,FALSE)*25)=TRUE,VLOOKUP($V$1*V3,Data!$C$1:$X$81,22,FALSE)*25,0)</f>
        <v>11556475</v>
      </c>
      <c r="Y3">
        <f>IF(ISNUMBER(VLOOKUP($V$1*V3,Data!$C$1:$X$81,3,FALSE)*25)=TRUE,VLOOKUP($V$1*V3,Data!$C$1:$X$81,3,FALSE)*25,0)</f>
        <v>586525</v>
      </c>
      <c r="Z3">
        <f>IF(ISNUMBER(VLOOKUP($V$1*V3,Data!$C$1:$X$81,21,FALSE)*25)=TRUE,VLOOKUP($V$1*V3,Data!$C$1:$X$81,21,FALSE)*25,0)</f>
        <v>10891025</v>
      </c>
      <c r="AA3">
        <f t="shared" si="6"/>
        <v>3.4705692448608798</v>
      </c>
      <c r="AB3">
        <f t="shared" si="7"/>
        <v>18.568731085631473</v>
      </c>
      <c r="AC3">
        <v>2</v>
      </c>
      <c r="AD3">
        <f>IF(ISNUMBER(VLOOKUP($AC$1*AC3,Data!$C$1:$D$161,2,FALSE)*25)=TRUE,VLOOKUP($AC$1*AC3,Data!$C$1:$D$161,2,FALSE)*25,0)</f>
        <v>7722000</v>
      </c>
      <c r="AE3">
        <f>IF(ISNUMBER(VLOOKUP($AC$1*AC3,Data!$C$1:$X$161,22,FALSE)*25)=TRUE,VLOOKUP($AC$1*AC3,Data!$C$1:$X$161,22,FALSE)*25,0)</f>
        <v>18692675</v>
      </c>
      <c r="AF3">
        <f>IF(ISNUMBER(VLOOKUP($AC$1*AC3,Data!$C$1:$X$161,3,FALSE)*25)=TRUE,VLOOKUP($AC$1*AC3,Data!$C$1:$X$161,3,FALSE)*25,0)</f>
        <v>6854025</v>
      </c>
      <c r="AG3">
        <f>IF(ISNUMBER(VLOOKUP($AC$1*AC3,Data!$C$1:$X$161,21,FALSE)*25)=TRUE,VLOOKUP($AC$1*AC3,Data!$C$1:$X$161,21,FALSE)*25,0)</f>
        <v>18629875</v>
      </c>
      <c r="AH3">
        <f t="shared" si="8"/>
        <v>2.4207038332038331</v>
      </c>
      <c r="AI3">
        <f t="shared" si="9"/>
        <v>2.7180926535867611</v>
      </c>
      <c r="AM3" s="12"/>
      <c r="AO3" s="12"/>
    </row>
    <row r="4" spans="1:46" x14ac:dyDescent="0.3">
      <c r="A4">
        <v>3</v>
      </c>
      <c r="B4">
        <f>IF(ISNUMBER(VLOOKUP($A$1*A4,Data!$C$1:$D$81,2,FALSE)*25)=TRUE,VLOOKUP($A$1*A4,Data!$C$1:$D$81,2,FALSE)*25,0)</f>
        <v>409175</v>
      </c>
      <c r="C4">
        <f>IF(ISNUMBER(VLOOKUP($A$1*A4,Data!$C$1:$X$81,22,FALSE)*25)=TRUE,VLOOKUP($A$1*A4,Data!$C$1:$X$81,22,FALSE)*25,0)</f>
        <v>3065850</v>
      </c>
      <c r="D4">
        <f>IF(ISNUMBER(VLOOKUP($A$1*A4,Data!$C$1:$X$81,3,FALSE)*25)=TRUE,VLOOKUP($A$1*A4,Data!$C$1:$X$81,3,FALSE)*25,0)</f>
        <v>-390525</v>
      </c>
      <c r="E4">
        <f>IF(ISNUMBER(VLOOKUP($A$1*A4,Data!$C$1:$X$81,21,FALSE)*25)=TRUE,VLOOKUP($A$1*A4,Data!$C$1:$X$81,21,FALSE)*25,0)</f>
        <v>2266300</v>
      </c>
      <c r="F4">
        <f t="shared" si="0"/>
        <v>7.4927598215922284</v>
      </c>
      <c r="G4">
        <f t="shared" si="1"/>
        <v>10</v>
      </c>
      <c r="H4">
        <v>3</v>
      </c>
      <c r="I4">
        <f>IF(ISNUMBER(VLOOKUP($H$1*H4,Data!$C$1:$D$81,2,FALSE)*25)=TRUE,VLOOKUP($H$1*H4,Data!$C$1:$D$81,2,FALSE)*25,0)</f>
        <v>1050200</v>
      </c>
      <c r="J4">
        <f>IF(ISNUMBER(VLOOKUP($H$1*H4,Data!$C$1:$X$81,22,FALSE)*25)=TRUE,VLOOKUP($H$1*H4,Data!$C$1:$X$81,22,FALSE)*25,0)</f>
        <v>6341100</v>
      </c>
      <c r="K4">
        <f>IF(ISNUMBER(VLOOKUP($H$1*H4,Data!$C$1:$X$81,3,FALSE)*25)=TRUE,VLOOKUP($H$1*H4,Data!$C$1:$X$81,3,FALSE)*25,0)</f>
        <v>-976000</v>
      </c>
      <c r="L4">
        <f>IF(ISNUMBER(VLOOKUP($H$1*H4,Data!$C$1:$X$81,21,FALSE)*25)=TRUE,VLOOKUP($H$1*H4,Data!$C$1:$X$81,21,FALSE)*25,0)</f>
        <v>5229825</v>
      </c>
      <c r="M4">
        <f t="shared" si="2"/>
        <v>6.0379927632831842</v>
      </c>
      <c r="N4">
        <f t="shared" si="3"/>
        <v>10</v>
      </c>
      <c r="O4">
        <v>3</v>
      </c>
      <c r="P4">
        <f>IF(ISNUMBER(VLOOKUP($O$1*O4,Data!$C$1:$D$81,2,FALSE)*25)=TRUE,VLOOKUP($O$1*O4,Data!$C$1:$D$81,2,FALSE)*25,0)</f>
        <v>1406325</v>
      </c>
      <c r="Q4">
        <f>IF(ISNUMBER(VLOOKUP($O$1*O4,Data!$C$1:$X$81,22,FALSE)*25)=TRUE,VLOOKUP($O$1*O4,Data!$C$1:$X$81,22,FALSE)*25,0)</f>
        <v>6036475</v>
      </c>
      <c r="R4">
        <f>IF(ISNUMBER(VLOOKUP($O$1*O4,Data!$C$1:$X$81,3,FALSE)*25)=TRUE,VLOOKUP($O$1*O4,Data!$C$1:$X$81,3,FALSE)*25,0)</f>
        <v>202700</v>
      </c>
      <c r="S4">
        <f>IF(ISNUMBER(VLOOKUP($O$1*O4,Data!$C$1:$X$81,21,FALSE)*25)=TRUE,VLOOKUP($O$1*O4,Data!$C$1:$X$81,21,FALSE)*25,0)</f>
        <v>5687900</v>
      </c>
      <c r="T4">
        <f t="shared" si="4"/>
        <v>4.2923755177501643</v>
      </c>
      <c r="U4">
        <f t="shared" si="5"/>
        <v>28.060680809077454</v>
      </c>
      <c r="V4">
        <v>3</v>
      </c>
      <c r="W4">
        <f>IF(ISNUMBER(VLOOKUP($V$1*V4,Data!$C$1:$D$81,2,FALSE)*25)=TRUE,VLOOKUP($V$1*V4,Data!$C$1:$D$81,2,FALSE)*25,0)</f>
        <v>3770000</v>
      </c>
      <c r="X4">
        <f>IF(ISNUMBER(VLOOKUP($V$1*V4,Data!$C$1:$X$81,22,FALSE)*25)=TRUE,VLOOKUP($V$1*V4,Data!$C$1:$X$81,22,FALSE)*25,0)</f>
        <v>13124125</v>
      </c>
      <c r="Y4">
        <f>IF(ISNUMBER(VLOOKUP($V$1*V4,Data!$C$1:$X$81,3,FALSE)*25)=TRUE,VLOOKUP($V$1*V4,Data!$C$1:$X$81,3,FALSE)*25,0)</f>
        <v>1026675</v>
      </c>
      <c r="Z4">
        <f>IF(ISNUMBER(VLOOKUP($V$1*V4,Data!$C$1:$X$81,21,FALSE)*25)=TRUE,VLOOKUP($V$1*V4,Data!$C$1:$X$81,21,FALSE)*25,0)</f>
        <v>12458675</v>
      </c>
      <c r="AA4">
        <f t="shared" si="6"/>
        <v>3.4812002652519896</v>
      </c>
      <c r="AB4">
        <f t="shared" si="7"/>
        <v>12.134974553777973</v>
      </c>
      <c r="AC4">
        <v>3</v>
      </c>
      <c r="AD4">
        <f>IF(ISNUMBER(VLOOKUP($AC$1*AC4,Data!$C$1:$D$161,2,FALSE)*25)=TRUE,VLOOKUP($AC$1*AC4,Data!$C$1:$D$161,2,FALSE)*25,0)</f>
        <v>8961725</v>
      </c>
      <c r="AE4">
        <f>IF(ISNUMBER(VLOOKUP($AC$1*AC4,Data!$C$1:$X$161,22,FALSE)*25)=TRUE,VLOOKUP($AC$1*AC4,Data!$C$1:$X$161,22,FALSE)*25,0)</f>
        <v>18724275</v>
      </c>
      <c r="AF4">
        <f>IF(ISNUMBER(VLOOKUP($AC$1*AC4,Data!$C$1:$X$161,3,FALSE)*25)=TRUE,VLOOKUP($AC$1*AC4,Data!$C$1:$X$161,3,FALSE)*25,0)</f>
        <v>8093750</v>
      </c>
      <c r="AG4">
        <f>IF(ISNUMBER(VLOOKUP($AC$1*AC4,Data!$C$1:$X$161,21,FALSE)*25)=TRUE,VLOOKUP($AC$1*AC4,Data!$C$1:$X$161,21,FALSE)*25,0)</f>
        <v>18661475</v>
      </c>
      <c r="AH4">
        <f t="shared" si="8"/>
        <v>2.0893605862710585</v>
      </c>
      <c r="AI4">
        <f t="shared" si="9"/>
        <v>2.3056648648648648</v>
      </c>
      <c r="AM4" s="12"/>
      <c r="AO4" s="12"/>
    </row>
    <row r="5" spans="1:46" x14ac:dyDescent="0.3">
      <c r="A5">
        <v>4</v>
      </c>
      <c r="B5">
        <f>IF(ISNUMBER(VLOOKUP($A$1*A5,Data!$C$1:$D$81,2,FALSE)*25)=TRUE,VLOOKUP($A$1*A5,Data!$C$1:$D$81,2,FALSE)*25,0)</f>
        <v>409175</v>
      </c>
      <c r="C5">
        <f>IF(ISNUMBER(VLOOKUP($A$1*A5,Data!$C$1:$X$81,22,FALSE)*25)=TRUE,VLOOKUP($A$1*A5,Data!$C$1:$X$81,22,FALSE)*25,0)</f>
        <v>3065850</v>
      </c>
      <c r="D5">
        <f>IF(ISNUMBER(VLOOKUP($A$1*A5,Data!$C$1:$X$81,3,FALSE)*25)=TRUE,VLOOKUP($A$1*A5,Data!$C$1:$X$81,3,FALSE)*25,0)</f>
        <v>-390525</v>
      </c>
      <c r="E5">
        <f>IF(ISNUMBER(VLOOKUP($A$1*A5,Data!$C$1:$X$81,21,FALSE)*25)=TRUE,VLOOKUP($A$1*A5,Data!$C$1:$X$81,21,FALSE)*25,0)</f>
        <v>2266300</v>
      </c>
      <c r="F5">
        <f t="shared" si="0"/>
        <v>7.4927598215922284</v>
      </c>
      <c r="G5">
        <f t="shared" si="1"/>
        <v>10</v>
      </c>
      <c r="H5">
        <v>4</v>
      </c>
      <c r="I5">
        <f>IF(ISNUMBER(VLOOKUP($H$1*H5,Data!$C$1:$D$81,2,FALSE)*25)=TRUE,VLOOKUP($H$1*H5,Data!$C$1:$D$81,2,FALSE)*25,0)</f>
        <v>1050200</v>
      </c>
      <c r="J5">
        <f>IF(ISNUMBER(VLOOKUP($H$1*H5,Data!$C$1:$X$81,22,FALSE)*25)=TRUE,VLOOKUP($H$1*H5,Data!$C$1:$X$81,22,FALSE)*25,0)</f>
        <v>6341100</v>
      </c>
      <c r="K5">
        <f>IF(ISNUMBER(VLOOKUP($H$1*H5,Data!$C$1:$X$81,3,FALSE)*25)=TRUE,VLOOKUP($H$1*H5,Data!$C$1:$X$81,3,FALSE)*25,0)</f>
        <v>-976000</v>
      </c>
      <c r="L5">
        <f>IF(ISNUMBER(VLOOKUP($H$1*H5,Data!$C$1:$X$81,21,FALSE)*25)=TRUE,VLOOKUP($H$1*H5,Data!$C$1:$X$81,21,FALSE)*25,0)</f>
        <v>5229825</v>
      </c>
      <c r="M5">
        <f t="shared" si="2"/>
        <v>6.0379927632831842</v>
      </c>
      <c r="N5">
        <f t="shared" si="3"/>
        <v>10</v>
      </c>
      <c r="O5">
        <v>4</v>
      </c>
      <c r="P5">
        <f>IF(ISNUMBER(VLOOKUP($O$1*O5,Data!$C$1:$D$81,2,FALSE)*25)=TRUE,VLOOKUP($O$1*O5,Data!$C$1:$D$81,2,FALSE)*25,0)</f>
        <v>1406325</v>
      </c>
      <c r="Q5">
        <f>IF(ISNUMBER(VLOOKUP($O$1*O5,Data!$C$1:$X$81,22,FALSE)*25)=TRUE,VLOOKUP($O$1*O5,Data!$C$1:$X$81,22,FALSE)*25,0)</f>
        <v>6036475</v>
      </c>
      <c r="R5">
        <f>IF(ISNUMBER(VLOOKUP($O$1*O5,Data!$C$1:$X$81,3,FALSE)*25)=TRUE,VLOOKUP($O$1*O5,Data!$C$1:$X$81,3,FALSE)*25,0)</f>
        <v>202700</v>
      </c>
      <c r="S5">
        <f>IF(ISNUMBER(VLOOKUP($O$1*O5,Data!$C$1:$X$81,21,FALSE)*25)=TRUE,VLOOKUP($O$1*O5,Data!$C$1:$X$81,21,FALSE)*25,0)</f>
        <v>5687900</v>
      </c>
      <c r="T5">
        <f t="shared" si="4"/>
        <v>4.2923755177501643</v>
      </c>
      <c r="U5">
        <f t="shared" si="5"/>
        <v>28.060680809077454</v>
      </c>
      <c r="V5">
        <v>4</v>
      </c>
      <c r="W5">
        <f>IF(ISNUMBER(VLOOKUP($V$1*V5,Data!$C$1:$D$81,2,FALSE)*25)=TRUE,VLOOKUP($V$1*V5,Data!$C$1:$D$81,2,FALSE)*25,0)</f>
        <v>3770000</v>
      </c>
      <c r="X5">
        <f>IF(ISNUMBER(VLOOKUP($V$1*V5,Data!$C$1:$X$81,22,FALSE)*25)=TRUE,VLOOKUP($V$1*V5,Data!$C$1:$X$81,22,FALSE)*25,0)</f>
        <v>13124125</v>
      </c>
      <c r="Y5">
        <f>IF(ISNUMBER(VLOOKUP($V$1*V5,Data!$C$1:$X$81,3,FALSE)*25)=TRUE,VLOOKUP($V$1*V5,Data!$C$1:$X$81,3,FALSE)*25,0)</f>
        <v>1026675</v>
      </c>
      <c r="Z5">
        <f>IF(ISNUMBER(VLOOKUP($V$1*V5,Data!$C$1:$X$81,21,FALSE)*25)=TRUE,VLOOKUP($V$1*V5,Data!$C$1:$X$81,21,FALSE)*25,0)</f>
        <v>12458675</v>
      </c>
      <c r="AA5">
        <f t="shared" si="6"/>
        <v>3.4812002652519896</v>
      </c>
      <c r="AB5">
        <f t="shared" si="7"/>
        <v>12.134974553777973</v>
      </c>
      <c r="AC5">
        <v>4</v>
      </c>
      <c r="AD5">
        <f>IF(ISNUMBER(VLOOKUP($AC$1*AC5,Data!$C$1:$D$161,2,FALSE)*25)=TRUE,VLOOKUP($AC$1*AC5,Data!$C$1:$D$161,2,FALSE)*25,0)</f>
        <v>8961725</v>
      </c>
      <c r="AE5">
        <f>IF(ISNUMBER(VLOOKUP($AC$1*AC5,Data!$C$1:$X$161,22,FALSE)*25)=TRUE,VLOOKUP($AC$1*AC5,Data!$C$1:$X$161,22,FALSE)*25,0)</f>
        <v>18724275</v>
      </c>
      <c r="AF5">
        <f>IF(ISNUMBER(VLOOKUP($AC$1*AC5,Data!$C$1:$X$161,3,FALSE)*25)=TRUE,VLOOKUP($AC$1*AC5,Data!$C$1:$X$161,3,FALSE)*25,0)</f>
        <v>8093750</v>
      </c>
      <c r="AG5">
        <f>IF(ISNUMBER(VLOOKUP($AC$1*AC5,Data!$C$1:$X$161,21,FALSE)*25)=TRUE,VLOOKUP($AC$1*AC5,Data!$C$1:$X$161,21,FALSE)*25,0)</f>
        <v>18661475</v>
      </c>
      <c r="AH5">
        <f t="shared" si="8"/>
        <v>2.0893605862710585</v>
      </c>
      <c r="AI5">
        <f t="shared" si="9"/>
        <v>2.3056648648648648</v>
      </c>
      <c r="AM5" s="12"/>
      <c r="AO5" s="12"/>
    </row>
    <row r="6" spans="1:46" x14ac:dyDescent="0.3">
      <c r="A6">
        <v>5</v>
      </c>
      <c r="B6">
        <f>IF(ISNUMBER(VLOOKUP($A$1*A6,Data!$C$1:$D$81,2,FALSE)*25)=TRUE,VLOOKUP($A$1*A6,Data!$C$1:$D$81,2,FALSE)*25,0)</f>
        <v>442650</v>
      </c>
      <c r="C6">
        <f>IF(ISNUMBER(VLOOKUP($A$1*A6,Data!$C$1:$X$81,22,FALSE)*25)=TRUE,VLOOKUP($A$1*A6,Data!$C$1:$X$81,22,FALSE)*25,0)</f>
        <v>3552600</v>
      </c>
      <c r="D6">
        <f>IF(ISNUMBER(VLOOKUP($A$1*A6,Data!$C$1:$X$81,3,FALSE)*25)=TRUE,VLOOKUP($A$1*A6,Data!$C$1:$X$81,3,FALSE)*25,0)</f>
        <v>-357050</v>
      </c>
      <c r="E6">
        <f>IF(ISNUMBER(VLOOKUP($A$1*A6,Data!$C$1:$X$81,21,FALSE)*25)=TRUE,VLOOKUP($A$1*A6,Data!$C$1:$X$81,21,FALSE)*25,0)</f>
        <v>2753050</v>
      </c>
      <c r="F6">
        <f t="shared" si="0"/>
        <v>8.0257539817011185</v>
      </c>
      <c r="G6">
        <f t="shared" si="1"/>
        <v>10</v>
      </c>
      <c r="H6">
        <v>5</v>
      </c>
      <c r="I6">
        <f>IF(ISNUMBER(VLOOKUP($H$1*H6,Data!$C$1:$D$81,2,FALSE)*25)=TRUE,VLOOKUP($H$1*H6,Data!$C$1:$D$81,2,FALSE)*25,0)</f>
        <v>1240225</v>
      </c>
      <c r="J6">
        <f>IF(ISNUMBER(VLOOKUP($H$1*H6,Data!$C$1:$X$81,22,FALSE)*25)=TRUE,VLOOKUP($H$1*H6,Data!$C$1:$X$81,22,FALSE)*25,0)</f>
        <v>7047200</v>
      </c>
      <c r="K6">
        <f>IF(ISNUMBER(VLOOKUP($H$1*H6,Data!$C$1:$X$81,3,FALSE)*25)=TRUE,VLOOKUP($H$1*H6,Data!$C$1:$X$81,3,FALSE)*25,0)</f>
        <v>-785975</v>
      </c>
      <c r="L6">
        <f>IF(ISNUMBER(VLOOKUP($H$1*H6,Data!$C$1:$X$81,21,FALSE)*25)=TRUE,VLOOKUP($H$1*H6,Data!$C$1:$X$81,21,FALSE)*25,0)</f>
        <v>5935925</v>
      </c>
      <c r="M6">
        <f t="shared" si="2"/>
        <v>5.6821947630470282</v>
      </c>
      <c r="N6">
        <f t="shared" si="3"/>
        <v>10</v>
      </c>
      <c r="O6">
        <v>5</v>
      </c>
      <c r="P6">
        <f>IF(ISNUMBER(VLOOKUP($O$1*O6,Data!$C$1:$D$81,2,FALSE)*25)=TRUE,VLOOKUP($O$1*O6,Data!$C$1:$D$81,2,FALSE)*25,0)</f>
        <v>1615425</v>
      </c>
      <c r="Q6">
        <f>IF(ISNUMBER(VLOOKUP($O$1*O6,Data!$C$1:$X$81,22,FALSE)*25)=TRUE,VLOOKUP($O$1*O6,Data!$C$1:$X$81,22,FALSE)*25,0)</f>
        <v>7074200</v>
      </c>
      <c r="R6">
        <f>IF(ISNUMBER(VLOOKUP($O$1*O6,Data!$C$1:$X$81,3,FALSE)*25)=TRUE,VLOOKUP($O$1*O6,Data!$C$1:$X$81,3,FALSE)*25,0)</f>
        <v>411800</v>
      </c>
      <c r="S6">
        <f>IF(ISNUMBER(VLOOKUP($O$1*O6,Data!$C$1:$X$81,21,FALSE)*25)=TRUE,VLOOKUP($O$1*O6,Data!$C$1:$X$81,21,FALSE)*25,0)</f>
        <v>6725625</v>
      </c>
      <c r="T6">
        <f t="shared" si="4"/>
        <v>4.3791571877369728</v>
      </c>
      <c r="U6">
        <f t="shared" si="5"/>
        <v>16.33226080621661</v>
      </c>
      <c r="V6">
        <v>5</v>
      </c>
      <c r="W6">
        <f>IF(ISNUMBER(VLOOKUP($V$1*V6,Data!$C$1:$D$81,2,FALSE)*25)=TRUE,VLOOKUP($V$1*V6,Data!$C$1:$D$81,2,FALSE)*25,0)</f>
        <v>5417725</v>
      </c>
      <c r="X6">
        <f>IF(ISNUMBER(VLOOKUP($V$1*V6,Data!$C$1:$X$81,22,FALSE)*25)=TRUE,VLOOKUP($V$1*V6,Data!$C$1:$X$81,22,FALSE)*25,0)</f>
        <v>16693325</v>
      </c>
      <c r="Y6">
        <f>IF(ISNUMBER(VLOOKUP($V$1*V6,Data!$C$1:$X$81,3,FALSE)*25)=TRUE,VLOOKUP($V$1*V6,Data!$C$1:$X$81,3,FALSE)*25,0)</f>
        <v>2674400</v>
      </c>
      <c r="Z6">
        <f>IF(ISNUMBER(VLOOKUP($V$1*V6,Data!$C$1:$X$81,21,FALSE)*25)=TRUE,VLOOKUP($V$1*V6,Data!$C$1:$X$81,21,FALSE)*25,0)</f>
        <v>16027875</v>
      </c>
      <c r="AA6">
        <f t="shared" si="6"/>
        <v>3.081242587986655</v>
      </c>
      <c r="AB6">
        <f t="shared" si="7"/>
        <v>5.9930732126832185</v>
      </c>
      <c r="AC6">
        <v>5</v>
      </c>
      <c r="AD6">
        <f>IF(ISNUMBER(VLOOKUP($AC$1*AC6,Data!$C$1:$D$161,2,FALSE)*25)=TRUE,VLOOKUP($AC$1*AC6,Data!$C$1:$D$161,2,FALSE)*25,0)</f>
        <v>11160300</v>
      </c>
      <c r="AE6">
        <f>IF(ISNUMBER(VLOOKUP($AC$1*AC6,Data!$C$1:$X$161,22,FALSE)*25)=TRUE,VLOOKUP($AC$1*AC6,Data!$C$1:$X$161,22,FALSE)*25,0)</f>
        <v>15696650</v>
      </c>
      <c r="AF6">
        <f>IF(ISNUMBER(VLOOKUP($AC$1*AC6,Data!$C$1:$X$161,3,FALSE)*25)=TRUE,VLOOKUP($AC$1*AC6,Data!$C$1:$X$161,3,FALSE)*25,0)</f>
        <v>10292325</v>
      </c>
      <c r="AG6">
        <f>IF(ISNUMBER(VLOOKUP($AC$1*AC6,Data!$C$1:$X$161,21,FALSE)*25)=TRUE,VLOOKUP($AC$1*AC6,Data!$C$1:$X$161,21,FALSE)*25,0)</f>
        <v>15633850</v>
      </c>
      <c r="AH6">
        <f t="shared" si="8"/>
        <v>1.4064720482424307</v>
      </c>
      <c r="AI6">
        <f t="shared" si="9"/>
        <v>1.5189813768997773</v>
      </c>
      <c r="AM6" s="12"/>
      <c r="AO6" s="12"/>
    </row>
    <row r="7" spans="1:46" x14ac:dyDescent="0.3">
      <c r="A7">
        <v>6</v>
      </c>
      <c r="B7">
        <f>IF(ISNUMBER(VLOOKUP($A$1*A7,Data!$C$1:$D$81,2,FALSE)*25)=TRUE,VLOOKUP($A$1*A7,Data!$C$1:$D$81,2,FALSE)*25,0)</f>
        <v>444750</v>
      </c>
      <c r="C7">
        <f>IF(ISNUMBER(VLOOKUP($A$1*A7,Data!$C$1:$X$81,22,FALSE)*25)=TRUE,VLOOKUP($A$1*A7,Data!$C$1:$X$81,22,FALSE)*25,0)</f>
        <v>3869425</v>
      </c>
      <c r="D7">
        <f>IF(ISNUMBER(VLOOKUP($A$1*A7,Data!$C$1:$X$81,3,FALSE)*25)=TRUE,VLOOKUP($A$1*A7,Data!$C$1:$X$81,3,FALSE)*25,0)</f>
        <v>-354950</v>
      </c>
      <c r="E7">
        <f>IF(ISNUMBER(VLOOKUP($A$1*A7,Data!$C$1:$X$81,21,FALSE)*25)=TRUE,VLOOKUP($A$1*A7,Data!$C$1:$X$81,21,FALSE)*25,0)</f>
        <v>3069875</v>
      </c>
      <c r="F7">
        <f t="shared" si="0"/>
        <v>8.7002248454187754</v>
      </c>
      <c r="G7">
        <f t="shared" si="1"/>
        <v>10</v>
      </c>
      <c r="H7">
        <v>6</v>
      </c>
      <c r="I7">
        <f>IF(ISNUMBER(VLOOKUP($H$1*H7,Data!$C$1:$D$81,2,FALSE)*25)=TRUE,VLOOKUP($H$1*H7,Data!$C$1:$D$81,2,FALSE)*25,0)</f>
        <v>1326700</v>
      </c>
      <c r="J7">
        <f>IF(ISNUMBER(VLOOKUP($H$1*H7,Data!$C$1:$X$81,22,FALSE)*25)=TRUE,VLOOKUP($H$1*H7,Data!$C$1:$X$81,22,FALSE)*25,0)</f>
        <v>7344775</v>
      </c>
      <c r="K7">
        <f>IF(ISNUMBER(VLOOKUP($H$1*H7,Data!$C$1:$X$81,3,FALSE)*25)=TRUE,VLOOKUP($H$1*H7,Data!$C$1:$X$81,3,FALSE)*25,0)</f>
        <v>-699500</v>
      </c>
      <c r="L7">
        <f>IF(ISNUMBER(VLOOKUP($H$1*H7,Data!$C$1:$X$81,21,FALSE)*25)=TRUE,VLOOKUP($H$1*H7,Data!$C$1:$X$81,21,FALSE)*25,0)</f>
        <v>6233500</v>
      </c>
      <c r="M7">
        <f t="shared" si="2"/>
        <v>5.5361234642345671</v>
      </c>
      <c r="N7">
        <f t="shared" si="3"/>
        <v>10</v>
      </c>
      <c r="O7">
        <v>6</v>
      </c>
      <c r="P7">
        <f>IF(ISNUMBER(VLOOKUP($O$1*O7,Data!$C$1:$D$81,2,FALSE)*25)=TRUE,VLOOKUP($O$1*O7,Data!$C$1:$D$81,2,FALSE)*25,0)</f>
        <v>1716650</v>
      </c>
      <c r="Q7">
        <f>IF(ISNUMBER(VLOOKUP($O$1*O7,Data!$C$1:$X$81,22,FALSE)*25)=TRUE,VLOOKUP($O$1*O7,Data!$C$1:$X$81,22,FALSE)*25,0)</f>
        <v>7201375</v>
      </c>
      <c r="R7">
        <f>IF(ISNUMBER(VLOOKUP($O$1*O7,Data!$C$1:$X$81,3,FALSE)*25)=TRUE,VLOOKUP($O$1*O7,Data!$C$1:$X$81,3,FALSE)*25,0)</f>
        <v>513025</v>
      </c>
      <c r="S7">
        <f>IF(ISNUMBER(VLOOKUP($O$1*O7,Data!$C$1:$X$81,21,FALSE)*25)=TRUE,VLOOKUP($O$1*O7,Data!$C$1:$X$81,21,FALSE)*25,0)</f>
        <v>6852800</v>
      </c>
      <c r="T7">
        <f t="shared" si="4"/>
        <v>4.1950164564704515</v>
      </c>
      <c r="U7">
        <f t="shared" si="5"/>
        <v>13.35763364358462</v>
      </c>
      <c r="V7">
        <v>6</v>
      </c>
      <c r="W7">
        <f>IF(ISNUMBER(VLOOKUP($V$1*V7,Data!$C$1:$D$81,2,FALSE)*25)=TRUE,VLOOKUP($V$1*V7,Data!$C$1:$D$81,2,FALSE)*25,0)</f>
        <v>6049075</v>
      </c>
      <c r="X7">
        <f>IF(ISNUMBER(VLOOKUP($V$1*V7,Data!$C$1:$X$81,22,FALSE)*25)=TRUE,VLOOKUP($V$1*V7,Data!$C$1:$X$81,22,FALSE)*25,0)</f>
        <v>17636625</v>
      </c>
      <c r="Y7">
        <f>IF(ISNUMBER(VLOOKUP($V$1*V7,Data!$C$1:$X$81,3,FALSE)*25)=TRUE,VLOOKUP($V$1*V7,Data!$C$1:$X$81,3,FALSE)*25,0)</f>
        <v>3305750</v>
      </c>
      <c r="Z7">
        <f>IF(ISNUMBER(VLOOKUP($V$1*V7,Data!$C$1:$X$81,21,FALSE)*25)=TRUE,VLOOKUP($V$1*V7,Data!$C$1:$X$81,21,FALSE)*25,0)</f>
        <v>16971175</v>
      </c>
      <c r="AA7">
        <f t="shared" si="6"/>
        <v>2.9155904001851525</v>
      </c>
      <c r="AB7">
        <f t="shared" si="7"/>
        <v>5.1338349844967102</v>
      </c>
      <c r="AC7">
        <v>6</v>
      </c>
      <c r="AD7">
        <f>IF(ISNUMBER(VLOOKUP($AC$1*AC7,Data!$C$1:$D$161,2,FALSE)*25)=TRUE,VLOOKUP($AC$1*AC7,Data!$C$1:$D$161,2,FALSE)*25,0)</f>
        <v>11883000</v>
      </c>
      <c r="AE7">
        <f>IF(ISNUMBER(VLOOKUP($AC$1*AC7,Data!$C$1:$X$161,22,FALSE)*25)=TRUE,VLOOKUP($AC$1*AC7,Data!$C$1:$X$161,22,FALSE)*25,0)</f>
        <v>14172625</v>
      </c>
      <c r="AF7">
        <f>IF(ISNUMBER(VLOOKUP($AC$1*AC7,Data!$C$1:$X$161,3,FALSE)*25)=TRUE,VLOOKUP($AC$1*AC7,Data!$C$1:$X$161,3,FALSE)*25,0)</f>
        <v>11015025</v>
      </c>
      <c r="AG7">
        <f>IF(ISNUMBER(VLOOKUP($AC$1*AC7,Data!$C$1:$X$161,21,FALSE)*25)=TRUE,VLOOKUP($AC$1*AC7,Data!$C$1:$X$161,21,FALSE)*25,0)</f>
        <v>14109825</v>
      </c>
      <c r="AH7">
        <f t="shared" si="8"/>
        <v>1.1926807203568122</v>
      </c>
      <c r="AI7">
        <f t="shared" si="9"/>
        <v>1.2809616864237712</v>
      </c>
      <c r="AM7" s="12"/>
      <c r="AO7" s="12"/>
    </row>
    <row r="8" spans="1:46" x14ac:dyDescent="0.3">
      <c r="A8">
        <v>7</v>
      </c>
      <c r="B8">
        <f>IF(ISNUMBER(VLOOKUP($A$1*A8,Data!$C$1:$D$81,2,FALSE)*25)=TRUE,VLOOKUP($A$1*A8,Data!$C$1:$D$81,2,FALSE)*25,0)</f>
        <v>463000</v>
      </c>
      <c r="C8">
        <f>IF(ISNUMBER(VLOOKUP($A$1*A8,Data!$C$1:$X$81,22,FALSE)*25)=TRUE,VLOOKUP($A$1*A8,Data!$C$1:$X$81,22,FALSE)*25,0)</f>
        <v>3960475</v>
      </c>
      <c r="D8">
        <f>IF(ISNUMBER(VLOOKUP($A$1*A8,Data!$C$1:$X$81,3,FALSE)*25)=TRUE,VLOOKUP($A$1*A8,Data!$C$1:$X$81,3,FALSE)*25,0)</f>
        <v>-336700</v>
      </c>
      <c r="E8">
        <f>IF(ISNUMBER(VLOOKUP($A$1*A8,Data!$C$1:$X$81,21,FALSE)*25)=TRUE,VLOOKUP($A$1*A8,Data!$C$1:$X$81,21,FALSE)*25,0)</f>
        <v>3160925</v>
      </c>
      <c r="F8">
        <f t="shared" si="0"/>
        <v>8.5539416846652276</v>
      </c>
      <c r="G8">
        <f t="shared" si="1"/>
        <v>10</v>
      </c>
      <c r="H8">
        <v>7</v>
      </c>
      <c r="I8">
        <f>IF(ISNUMBER(VLOOKUP($H$1*H8,Data!$C$1:$D$81,2,FALSE)*25)=TRUE,VLOOKUP($H$1*H8,Data!$C$1:$D$81,2,FALSE)*25,0)</f>
        <v>1384375</v>
      </c>
      <c r="J8">
        <f>IF(ISNUMBER(VLOOKUP($H$1*H8,Data!$C$1:$X$81,22,FALSE)*25)=TRUE,VLOOKUP($H$1*H8,Data!$C$1:$X$81,22,FALSE)*25,0)</f>
        <v>7835125</v>
      </c>
      <c r="K8">
        <f>IF(ISNUMBER(VLOOKUP($H$1*H8,Data!$C$1:$X$81,3,FALSE)*25)=TRUE,VLOOKUP($H$1*H8,Data!$C$1:$X$81,3,FALSE)*25,0)</f>
        <v>-641825</v>
      </c>
      <c r="L8">
        <f>IF(ISNUMBER(VLOOKUP($H$1*H8,Data!$C$1:$X$81,21,FALSE)*25)=TRUE,VLOOKUP($H$1*H8,Data!$C$1:$X$81,21,FALSE)*25,0)</f>
        <v>6723850</v>
      </c>
      <c r="M8">
        <f t="shared" si="2"/>
        <v>5.6596839729119637</v>
      </c>
      <c r="N8">
        <f t="shared" si="3"/>
        <v>10</v>
      </c>
      <c r="O8">
        <v>7</v>
      </c>
      <c r="P8">
        <f>IF(ISNUMBER(VLOOKUP($O$1*O8,Data!$C$1:$D$81,2,FALSE)*25)=TRUE,VLOOKUP($O$1*O8,Data!$C$1:$D$81,2,FALSE)*25,0)</f>
        <v>1881675</v>
      </c>
      <c r="Q8">
        <f>IF(ISNUMBER(VLOOKUP($O$1*O8,Data!$C$1:$X$81,22,FALSE)*25)=TRUE,VLOOKUP($O$1*O8,Data!$C$1:$X$81,22,FALSE)*25,0)</f>
        <v>7772200</v>
      </c>
      <c r="R8">
        <f>IF(ISNUMBER(VLOOKUP($O$1*O8,Data!$C$1:$X$81,3,FALSE)*25)=TRUE,VLOOKUP($O$1*O8,Data!$C$1:$X$81,3,FALSE)*25,0)</f>
        <v>678050</v>
      </c>
      <c r="S8">
        <f>IF(ISNUMBER(VLOOKUP($O$1*O8,Data!$C$1:$X$81,21,FALSE)*25)=TRUE,VLOOKUP($O$1*O8,Data!$C$1:$X$81,21,FALSE)*25,0)</f>
        <v>7423625</v>
      </c>
      <c r="T8">
        <f t="shared" si="4"/>
        <v>4.1304688641768639</v>
      </c>
      <c r="U8">
        <f t="shared" si="5"/>
        <v>10.94849199911511</v>
      </c>
      <c r="V8">
        <v>7</v>
      </c>
      <c r="W8">
        <f>IF(ISNUMBER(VLOOKUP($V$1*V8,Data!$C$1:$D$81,2,FALSE)*25)=TRUE,VLOOKUP($V$1*V8,Data!$C$1:$D$81,2,FALSE)*25,0)</f>
        <v>6570050</v>
      </c>
      <c r="X8">
        <f>IF(ISNUMBER(VLOOKUP($V$1*V8,Data!$C$1:$X$81,22,FALSE)*25)=TRUE,VLOOKUP($V$1*V8,Data!$C$1:$X$81,22,FALSE)*25,0)</f>
        <v>19784300</v>
      </c>
      <c r="Y8">
        <f>IF(ISNUMBER(VLOOKUP($V$1*V8,Data!$C$1:$X$81,3,FALSE)*25)=TRUE,VLOOKUP($V$1*V8,Data!$C$1:$X$81,3,FALSE)*25,0)</f>
        <v>3826725</v>
      </c>
      <c r="Z8">
        <f>IF(ISNUMBER(VLOOKUP($V$1*V8,Data!$C$1:$X$81,21,FALSE)*25)=TRUE,VLOOKUP($V$1*V8,Data!$C$1:$X$81,21,FALSE)*25,0)</f>
        <v>19118850</v>
      </c>
      <c r="AA8">
        <f t="shared" si="6"/>
        <v>3.0112860632719691</v>
      </c>
      <c r="AB8">
        <f t="shared" si="7"/>
        <v>4.9961389961389964</v>
      </c>
      <c r="AC8">
        <v>7</v>
      </c>
      <c r="AD8">
        <f>IF(ISNUMBER(VLOOKUP($AC$1*AC8,Data!$C$1:$D$161,2,FALSE)*25)=TRUE,VLOOKUP($AC$1*AC8,Data!$C$1:$D$161,2,FALSE)*25,0)</f>
        <v>13561050</v>
      </c>
      <c r="AE8">
        <f>IF(ISNUMBER(VLOOKUP($AC$1*AC8,Data!$C$1:$X$161,22,FALSE)*25)=TRUE,VLOOKUP($AC$1*AC8,Data!$C$1:$X$161,22,FALSE)*25,0)</f>
        <v>12517150</v>
      </c>
      <c r="AF8">
        <f>IF(ISNUMBER(VLOOKUP($AC$1*AC8,Data!$C$1:$X$161,3,FALSE)*25)=TRUE,VLOOKUP($AC$1*AC8,Data!$C$1:$X$161,3,FALSE)*25,0)</f>
        <v>12693075</v>
      </c>
      <c r="AG8">
        <f>IF(ISNUMBER(VLOOKUP($AC$1*AC8,Data!$C$1:$X$161,21,FALSE)*25)=TRUE,VLOOKUP($AC$1*AC8,Data!$C$1:$X$161,21,FALSE)*25,0)</f>
        <v>12454350</v>
      </c>
      <c r="AH8">
        <f t="shared" si="8"/>
        <v>0.92302218486031684</v>
      </c>
      <c r="AI8">
        <f t="shared" si="9"/>
        <v>0.98119250063518892</v>
      </c>
      <c r="AM8" s="12"/>
      <c r="AO8" s="12"/>
    </row>
    <row r="9" spans="1:46" x14ac:dyDescent="0.3">
      <c r="A9">
        <v>8</v>
      </c>
      <c r="B9">
        <f>IF(ISNUMBER(VLOOKUP($A$1*A9,Data!$C$1:$D$81,2,FALSE)*25)=TRUE,VLOOKUP($A$1*A9,Data!$C$1:$D$81,2,FALSE)*25,0)</f>
        <v>476050</v>
      </c>
      <c r="C9">
        <f>IF(ISNUMBER(VLOOKUP($A$1*A9,Data!$C$1:$X$81,22,FALSE)*25)=TRUE,VLOOKUP($A$1*A9,Data!$C$1:$X$81,22,FALSE)*25,0)</f>
        <v>3950550</v>
      </c>
      <c r="D9">
        <f>IF(ISNUMBER(VLOOKUP($A$1*A9,Data!$C$1:$X$81,3,FALSE)*25)=TRUE,VLOOKUP($A$1*A9,Data!$C$1:$X$81,3,FALSE)*25,0)</f>
        <v>-323650</v>
      </c>
      <c r="E9">
        <f>IF(ISNUMBER(VLOOKUP($A$1*A9,Data!$C$1:$X$81,21,FALSE)*25)=TRUE,VLOOKUP($A$1*A9,Data!$C$1:$X$81,21,FALSE)*25,0)</f>
        <v>3151000</v>
      </c>
      <c r="F9">
        <f t="shared" si="0"/>
        <v>8.2986030879109336</v>
      </c>
      <c r="G9">
        <f t="shared" si="1"/>
        <v>10</v>
      </c>
      <c r="H9">
        <v>8</v>
      </c>
      <c r="I9">
        <f>IF(ISNUMBER(VLOOKUP($H$1*H9,Data!$C$1:$D$81,2,FALSE)*25)=TRUE,VLOOKUP($H$1*H9,Data!$C$1:$D$81,2,FALSE)*25,0)</f>
        <v>1472800</v>
      </c>
      <c r="J9">
        <f>IF(ISNUMBER(VLOOKUP($H$1*H9,Data!$C$1:$X$81,22,FALSE)*25)=TRUE,VLOOKUP($H$1*H9,Data!$C$1:$X$81,22,FALSE)*25,0)</f>
        <v>7969500</v>
      </c>
      <c r="K9">
        <f>IF(ISNUMBER(VLOOKUP($H$1*H9,Data!$C$1:$X$81,3,FALSE)*25)=TRUE,VLOOKUP($H$1*H9,Data!$C$1:$X$81,3,FALSE)*25,0)</f>
        <v>-553400</v>
      </c>
      <c r="L9">
        <f>IF(ISNUMBER(VLOOKUP($H$1*H9,Data!$C$1:$X$81,21,FALSE)*25)=TRUE,VLOOKUP($H$1*H9,Data!$C$1:$X$81,21,FALSE)*25,0)</f>
        <v>6858225</v>
      </c>
      <c r="M9">
        <f t="shared" si="2"/>
        <v>5.4111216730038025</v>
      </c>
      <c r="N9">
        <f t="shared" si="3"/>
        <v>10</v>
      </c>
      <c r="O9">
        <v>8</v>
      </c>
      <c r="P9">
        <f>IF(ISNUMBER(VLOOKUP($O$1*O9,Data!$C$1:$D$81,2,FALSE)*25)=TRUE,VLOOKUP($O$1*O9,Data!$C$1:$D$81,2,FALSE)*25,0)</f>
        <v>2010950</v>
      </c>
      <c r="Q9">
        <f>IF(ISNUMBER(VLOOKUP($O$1*O9,Data!$C$1:$X$81,22,FALSE)*25)=TRUE,VLOOKUP($O$1*O9,Data!$C$1:$X$81,22,FALSE)*25,0)</f>
        <v>8189025</v>
      </c>
      <c r="R9">
        <f>IF(ISNUMBER(VLOOKUP($O$1*O9,Data!$C$1:$X$81,3,FALSE)*25)=TRUE,VLOOKUP($O$1*O9,Data!$C$1:$X$81,3,FALSE)*25,0)</f>
        <v>807325</v>
      </c>
      <c r="S9">
        <f>IF(ISNUMBER(VLOOKUP($O$1*O9,Data!$C$1:$X$81,21,FALSE)*25)=TRUE,VLOOKUP($O$1*O9,Data!$C$1:$X$81,21,FALSE)*25,0)</f>
        <v>7840450</v>
      </c>
      <c r="T9">
        <f t="shared" si="4"/>
        <v>4.0722171113155472</v>
      </c>
      <c r="U9">
        <f t="shared" si="5"/>
        <v>9.7116402935620716</v>
      </c>
      <c r="V9">
        <v>8</v>
      </c>
      <c r="W9">
        <f>IF(ISNUMBER(VLOOKUP($V$1*V9,Data!$C$1:$D$81,2,FALSE)*25)=TRUE,VLOOKUP($V$1*V9,Data!$C$1:$D$81,2,FALSE)*25,0)</f>
        <v>7331125</v>
      </c>
      <c r="X9">
        <f>IF(ISNUMBER(VLOOKUP($V$1*V9,Data!$C$1:$X$81,22,FALSE)*25)=TRUE,VLOOKUP($V$1*V9,Data!$C$1:$X$81,22,FALSE)*25,0)</f>
        <v>20109550</v>
      </c>
      <c r="Y9">
        <f>IF(ISNUMBER(VLOOKUP($V$1*V9,Data!$C$1:$X$81,3,FALSE)*25)=TRUE,VLOOKUP($V$1*V9,Data!$C$1:$X$81,3,FALSE)*25,0)</f>
        <v>4587800</v>
      </c>
      <c r="Z9">
        <f>IF(ISNUMBER(VLOOKUP($V$1*V9,Data!$C$1:$X$81,21,FALSE)*25)=TRUE,VLOOKUP($V$1*V9,Data!$C$1:$X$81,21,FALSE)*25,0)</f>
        <v>19444100</v>
      </c>
      <c r="AA9">
        <f t="shared" si="6"/>
        <v>2.7430373919418916</v>
      </c>
      <c r="AB9">
        <f t="shared" si="7"/>
        <v>4.2382187540869261</v>
      </c>
      <c r="AC9">
        <v>8</v>
      </c>
      <c r="AD9">
        <f>IF(ISNUMBER(VLOOKUP($AC$1*AC9,Data!$C$1:$D$161,2,FALSE)*25)=TRUE,VLOOKUP($AC$1*AC9,Data!$C$1:$D$161,2,FALSE)*25,0)</f>
        <v>14697950</v>
      </c>
      <c r="AE9">
        <f>IF(ISNUMBER(VLOOKUP($AC$1*AC9,Data!$C$1:$X$161,22,FALSE)*25)=TRUE,VLOOKUP($AC$1*AC9,Data!$C$1:$X$161,22,FALSE)*25,0)</f>
        <v>11022300</v>
      </c>
      <c r="AF9">
        <f>IF(ISNUMBER(VLOOKUP($AC$1*AC9,Data!$C$1:$X$161,3,FALSE)*25)=TRUE,VLOOKUP($AC$1*AC9,Data!$C$1:$X$161,3,FALSE)*25,0)</f>
        <v>13829975</v>
      </c>
      <c r="AG9">
        <f>IF(ISNUMBER(VLOOKUP($AC$1*AC9,Data!$C$1:$X$161,21,FALSE)*25)=TRUE,VLOOKUP($AC$1*AC9,Data!$C$1:$X$161,21,FALSE)*25,0)</f>
        <v>10959500</v>
      </c>
      <c r="AH9">
        <f t="shared" si="8"/>
        <v>0.74992090733741779</v>
      </c>
      <c r="AI9">
        <f t="shared" si="9"/>
        <v>0.79244539487598498</v>
      </c>
    </row>
    <row r="10" spans="1:46" x14ac:dyDescent="0.3">
      <c r="AC10">
        <v>9</v>
      </c>
      <c r="AD10">
        <f>IF(ISNUMBER(VLOOKUP($AC$1*AC10,Data!$C$1:$D$161,2,FALSE)*25)=TRUE,VLOOKUP($AC$1*AC10,Data!$C$1:$D$161,2,FALSE)*25,0)</f>
        <v>11893000</v>
      </c>
      <c r="AE10">
        <f>IF(ISNUMBER(VLOOKUP($AC$1*AC10,Data!$C$1:$X$161,22,FALSE)*25)=TRUE,VLOOKUP($AC$1*AC10,Data!$C$1:$X$161,22,FALSE)*25,0)</f>
        <v>13897800</v>
      </c>
      <c r="AF10">
        <f>IF(ISNUMBER(VLOOKUP($AC$1*AC10,Data!$C$1:$X$161,3,FALSE)*25)=TRUE,VLOOKUP($AC$1*AC10,Data!$C$1:$X$161,3,FALSE)*25,0)</f>
        <v>11025025</v>
      </c>
      <c r="AG10">
        <f>IF(ISNUMBER(VLOOKUP($AC$1*AC10,Data!$C$1:$X$161,21,FALSE)*25)=TRUE,VLOOKUP($AC$1*AC10,Data!$C$1:$X$161,21,FALSE)*25,0)</f>
        <v>13835000</v>
      </c>
      <c r="AH10">
        <f t="shared" si="8"/>
        <v>1.168569746909947</v>
      </c>
      <c r="AI10">
        <f t="shared" si="9"/>
        <v>1.2548724379309797</v>
      </c>
    </row>
    <row r="11" spans="1:46" x14ac:dyDescent="0.3">
      <c r="AC11">
        <v>10</v>
      </c>
      <c r="AD11">
        <f>IF(ISNUMBER(VLOOKUP($AC$1*AC11,Data!$C$1:$D$161,2,FALSE)*25)=TRUE,VLOOKUP($AC$1*AC11,Data!$C$1:$D$161,2,FALSE)*25,0)</f>
        <v>11262825</v>
      </c>
      <c r="AE11">
        <f>IF(ISNUMBER(VLOOKUP($AC$1*AC11,Data!$C$1:$X$161,22,FALSE)*25)=TRUE,VLOOKUP($AC$1*AC11,Data!$C$1:$X$161,22,FALSE)*25,0)</f>
        <v>14112975</v>
      </c>
      <c r="AF11">
        <f>IF(ISNUMBER(VLOOKUP($AC$1*AC11,Data!$C$1:$X$161,3,FALSE)*25)=TRUE,VLOOKUP($AC$1*AC11,Data!$C$1:$X$161,3,FALSE)*25,0)</f>
        <v>10394850</v>
      </c>
      <c r="AG11">
        <f>IF(ISNUMBER(VLOOKUP($AC$1*AC11,Data!$C$1:$X$161,21,FALSE)*25)=TRUE,VLOOKUP($AC$1*AC11,Data!$C$1:$X$161,21,FALSE)*25,0)</f>
        <v>14050175</v>
      </c>
      <c r="AH11">
        <f t="shared" si="8"/>
        <v>1.2530581803410779</v>
      </c>
      <c r="AI11">
        <f t="shared" si="9"/>
        <v>1.351647690923871</v>
      </c>
    </row>
    <row r="12" spans="1:46" x14ac:dyDescent="0.3">
      <c r="AC12">
        <v>11</v>
      </c>
      <c r="AD12">
        <f>IF(ISNUMBER(VLOOKUP($AC$1*AC12,Data!$C$1:$D$161,2,FALSE)*25)=TRUE,VLOOKUP($AC$1*AC12,Data!$C$1:$D$161,2,FALSE)*25,0)</f>
        <v>10241100</v>
      </c>
      <c r="AE12">
        <f>IF(ISNUMBER(VLOOKUP($AC$1*AC12,Data!$C$1:$X$161,22,FALSE)*25)=TRUE,VLOOKUP($AC$1*AC12,Data!$C$1:$X$161,22,FALSE)*25,0)</f>
        <v>14051450</v>
      </c>
      <c r="AF12">
        <f>IF(ISNUMBER(VLOOKUP($AC$1*AC12,Data!$C$1:$X$161,3,FALSE)*25)=TRUE,VLOOKUP($AC$1*AC12,Data!$C$1:$X$161,3,FALSE)*25,0)</f>
        <v>9373125</v>
      </c>
      <c r="AG12">
        <f>IF(ISNUMBER(VLOOKUP($AC$1*AC12,Data!$C$1:$X$161,21,FALSE)*25)=TRUE,VLOOKUP($AC$1*AC12,Data!$C$1:$X$161,21,FALSE)*25,0)</f>
        <v>13988650</v>
      </c>
      <c r="AH12">
        <f t="shared" si="8"/>
        <v>1.3720645243186766</v>
      </c>
      <c r="AI12">
        <f t="shared" si="9"/>
        <v>1.4924211508968461</v>
      </c>
    </row>
    <row r="13" spans="1:46" x14ac:dyDescent="0.3">
      <c r="AC13">
        <v>12</v>
      </c>
      <c r="AD13">
        <f>IF(ISNUMBER(VLOOKUP($AC$1*AC13,Data!$C$1:$D$161,2,FALSE)*25)=TRUE,VLOOKUP($AC$1*AC13,Data!$C$1:$D$161,2,FALSE)*25,0)</f>
        <v>9445225</v>
      </c>
      <c r="AE13">
        <f>IF(ISNUMBER(VLOOKUP($AC$1*AC13,Data!$C$1:$X$161,22,FALSE)*25)=TRUE,VLOOKUP($AC$1*AC13,Data!$C$1:$X$161,22,FALSE)*25,0)</f>
        <v>14170950</v>
      </c>
      <c r="AF13">
        <f>IF(ISNUMBER(VLOOKUP($AC$1*AC13,Data!$C$1:$X$161,3,FALSE)*25)=TRUE,VLOOKUP($AC$1*AC13,Data!$C$1:$X$161,3,FALSE)*25,0)</f>
        <v>8577250</v>
      </c>
      <c r="AG13">
        <f>IF(ISNUMBER(VLOOKUP($AC$1*AC13,Data!$C$1:$X$161,21,FALSE)*25)=TRUE,VLOOKUP($AC$1*AC13,Data!$C$1:$X$161,21,FALSE)*25,0)</f>
        <v>14108150</v>
      </c>
      <c r="AH13">
        <f t="shared" si="8"/>
        <v>1.5003295315887129</v>
      </c>
      <c r="AI13">
        <f t="shared" si="9"/>
        <v>1.6448337171004692</v>
      </c>
    </row>
    <row r="14" spans="1:46" x14ac:dyDescent="0.3">
      <c r="AC14">
        <v>13</v>
      </c>
      <c r="AD14">
        <f>IF(ISNUMBER(VLOOKUP($AC$1*AC14,Data!$C$1:$D$161,2,FALSE)*25)=TRUE,VLOOKUP($AC$1*AC14,Data!$C$1:$D$161,2,FALSE)*25,0)</f>
        <v>9309475</v>
      </c>
      <c r="AE14">
        <f>IF(ISNUMBER(VLOOKUP($AC$1*AC14,Data!$C$1:$X$161,22,FALSE)*25)=TRUE,VLOOKUP($AC$1*AC14,Data!$C$1:$X$161,22,FALSE)*25,0)</f>
        <v>13916500</v>
      </c>
      <c r="AF14">
        <f>IF(ISNUMBER(VLOOKUP($AC$1*AC14,Data!$C$1:$X$161,3,FALSE)*25)=TRUE,VLOOKUP($AC$1*AC14,Data!$C$1:$X$161,3,FALSE)*25,0)</f>
        <v>8441500</v>
      </c>
      <c r="AG14">
        <f>IF(ISNUMBER(VLOOKUP($AC$1*AC14,Data!$C$1:$X$161,21,FALSE)*25)=TRUE,VLOOKUP($AC$1*AC14,Data!$C$1:$X$161,21,FALSE)*25,0)</f>
        <v>13853700</v>
      </c>
      <c r="AH14">
        <f t="shared" si="8"/>
        <v>1.4948748452517462</v>
      </c>
      <c r="AI14">
        <f t="shared" si="9"/>
        <v>1.6411419771367648</v>
      </c>
    </row>
    <row r="15" spans="1:46" x14ac:dyDescent="0.3">
      <c r="AC15">
        <v>14</v>
      </c>
      <c r="AD15">
        <f>IF(ISNUMBER(VLOOKUP($AC$1*AC15,Data!$C$1:$D$161,2,FALSE)*25)=TRUE,VLOOKUP($AC$1*AC15,Data!$C$1:$D$161,2,FALSE)*25,0)</f>
        <v>8696050</v>
      </c>
      <c r="AE15">
        <f>IF(ISNUMBER(VLOOKUP($AC$1*AC15,Data!$C$1:$X$161,22,FALSE)*25)=TRUE,VLOOKUP($AC$1*AC15,Data!$C$1:$X$161,22,FALSE)*25,0)</f>
        <v>13194475</v>
      </c>
      <c r="AF15">
        <f>IF(ISNUMBER(VLOOKUP($AC$1*AC15,Data!$C$1:$X$161,3,FALSE)*25)=TRUE,VLOOKUP($AC$1*AC15,Data!$C$1:$X$161,3,FALSE)*25,0)</f>
        <v>7828075</v>
      </c>
      <c r="AG15">
        <f>IF(ISNUMBER(VLOOKUP($AC$1*AC15,Data!$C$1:$X$161,21,FALSE)*25)=TRUE,VLOOKUP($AC$1*AC15,Data!$C$1:$X$161,21,FALSE)*25,0)</f>
        <v>13131675</v>
      </c>
      <c r="AH15">
        <f t="shared" si="8"/>
        <v>1.5172952087442</v>
      </c>
      <c r="AI15">
        <f t="shared" si="9"/>
        <v>1.6775101158330752</v>
      </c>
    </row>
    <row r="16" spans="1:46" x14ac:dyDescent="0.3">
      <c r="AC16">
        <v>15</v>
      </c>
      <c r="AD16">
        <f>IF(ISNUMBER(VLOOKUP($AC$1*AC16,Data!$C$1:$D$161,2,FALSE)*25)=TRUE,VLOOKUP($AC$1*AC16,Data!$C$1:$D$161,2,FALSE)*25,0)</f>
        <v>9002350</v>
      </c>
      <c r="AE16">
        <f>IF(ISNUMBER(VLOOKUP($AC$1*AC16,Data!$C$1:$X$161,22,FALSE)*25)=TRUE,VLOOKUP($AC$1*AC16,Data!$C$1:$X$161,22,FALSE)*25,0)</f>
        <v>12519300</v>
      </c>
      <c r="AF16">
        <f>IF(ISNUMBER(VLOOKUP($AC$1*AC16,Data!$C$1:$X$161,3,FALSE)*25)=TRUE,VLOOKUP($AC$1*AC16,Data!$C$1:$X$161,3,FALSE)*25,0)</f>
        <v>8134375</v>
      </c>
      <c r="AG16">
        <f>IF(ISNUMBER(VLOOKUP($AC$1*AC16,Data!$C$1:$X$161,21,FALSE)*25)=TRUE,VLOOKUP($AC$1*AC16,Data!$C$1:$X$161,21,FALSE)*25,0)</f>
        <v>12456500</v>
      </c>
      <c r="AH16">
        <f t="shared" si="8"/>
        <v>1.3906702138885958</v>
      </c>
      <c r="AI16">
        <f t="shared" si="9"/>
        <v>1.5313407606607761</v>
      </c>
    </row>
    <row r="17" spans="1:38" x14ac:dyDescent="0.3">
      <c r="AC17">
        <v>16</v>
      </c>
      <c r="AD17">
        <f>IF(ISNUMBER(VLOOKUP($AC$1*AC17,Data!$C$1:$D$161,2,FALSE)*25)=TRUE,VLOOKUP($AC$1*AC17,Data!$C$1:$D$161,2,FALSE)*25,0)</f>
        <v>13776700</v>
      </c>
      <c r="AE17">
        <f>IF(ISNUMBER(VLOOKUP($AC$1*AC17,Data!$C$1:$X$161,22,FALSE)*25)=TRUE,VLOOKUP($AC$1*AC17,Data!$C$1:$X$161,22,FALSE)*25,0)</f>
        <v>9700800</v>
      </c>
      <c r="AF17">
        <f>IF(ISNUMBER(VLOOKUP($AC$1*AC17,Data!$C$1:$X$161,3,FALSE)*25)=TRUE,VLOOKUP($AC$1*AC17,Data!$C$1:$X$161,3,FALSE)*25,0)</f>
        <v>12908725</v>
      </c>
      <c r="AG17">
        <f>IF(ISNUMBER(VLOOKUP($AC$1*AC17,Data!$C$1:$X$161,21,FALSE)*25)=TRUE,VLOOKUP($AC$1*AC17,Data!$C$1:$X$161,21,FALSE)*25,0)</f>
        <v>9638000</v>
      </c>
      <c r="AH17">
        <f t="shared" si="8"/>
        <v>0.70414540492280442</v>
      </c>
      <c r="AI17">
        <f t="shared" si="9"/>
        <v>0.746626796991957</v>
      </c>
    </row>
    <row r="19" spans="1:38" x14ac:dyDescent="0.3">
      <c r="A19" s="12">
        <f>Entry!$A$2+250</f>
        <v>24800</v>
      </c>
      <c r="B19" t="s">
        <v>30</v>
      </c>
      <c r="C19" t="s">
        <v>31</v>
      </c>
      <c r="D19" t="s">
        <v>32</v>
      </c>
      <c r="E19" t="s">
        <v>33</v>
      </c>
      <c r="F19" t="s">
        <v>4</v>
      </c>
      <c r="G19" t="s">
        <v>34</v>
      </c>
      <c r="H19" s="12">
        <f>Entry!$A$2+200</f>
        <v>24750</v>
      </c>
      <c r="I19" t="s">
        <v>30</v>
      </c>
      <c r="J19" t="s">
        <v>31</v>
      </c>
      <c r="K19" t="s">
        <v>32</v>
      </c>
      <c r="L19" t="s">
        <v>33</v>
      </c>
      <c r="M19" t="s">
        <v>4</v>
      </c>
      <c r="N19" t="s">
        <v>34</v>
      </c>
      <c r="O19" s="12">
        <f>Entry!$A$2+150</f>
        <v>24700</v>
      </c>
      <c r="P19" t="s">
        <v>30</v>
      </c>
      <c r="Q19" t="s">
        <v>31</v>
      </c>
      <c r="R19" t="s">
        <v>32</v>
      </c>
      <c r="S19" t="s">
        <v>33</v>
      </c>
      <c r="T19" t="s">
        <v>4</v>
      </c>
      <c r="U19" t="s">
        <v>34</v>
      </c>
      <c r="V19" s="12">
        <f>Entry!$A$2+100</f>
        <v>24650</v>
      </c>
      <c r="W19" t="s">
        <v>30</v>
      </c>
      <c r="X19" t="s">
        <v>31</v>
      </c>
      <c r="Y19" t="s">
        <v>32</v>
      </c>
      <c r="Z19" t="s">
        <v>33</v>
      </c>
      <c r="AA19" t="s">
        <v>4</v>
      </c>
      <c r="AB19" t="s">
        <v>34</v>
      </c>
      <c r="AC19" s="12">
        <f>Entry!$A$2+50</f>
        <v>24600</v>
      </c>
      <c r="AD19" t="s">
        <v>30</v>
      </c>
      <c r="AE19" t="s">
        <v>31</v>
      </c>
      <c r="AF19" t="s">
        <v>32</v>
      </c>
      <c r="AG19" t="s">
        <v>33</v>
      </c>
      <c r="AH19" t="s">
        <v>4</v>
      </c>
      <c r="AI19" t="s">
        <v>34</v>
      </c>
      <c r="AK19" s="12"/>
      <c r="AL19" s="12"/>
    </row>
    <row r="20" spans="1:38" x14ac:dyDescent="0.3">
      <c r="A20">
        <v>1</v>
      </c>
      <c r="B20">
        <f>IF(ISNUMBER(VLOOKUP($A$19*A20,Data!$C$1:$D$81,2,FALSE)*25)=TRUE,VLOOKUP($A$19*A20,Data!$C$1:$D$81,2,FALSE)*25,0)</f>
        <v>0</v>
      </c>
      <c r="C20">
        <f>IF(ISNUMBER(VLOOKUP($A$19*A20,Data!$C$1:$X$81,22,FALSE)*25)=TRUE,VLOOKUP($A$19*A20,Data!$C$1:$X$81,22,FALSE)*25,0)</f>
        <v>0</v>
      </c>
      <c r="D20">
        <f>IF(ISNUMBER(VLOOKUP($A$19*A20,Data!$C$1:$X$81,3,FALSE)*25)=TRUE,VLOOKUP($A$19*A20,Data!$C$1:$X$81,3,FALSE)*25,0)</f>
        <v>0</v>
      </c>
      <c r="E20">
        <f>IF(ISNUMBER(VLOOKUP($A$19*A20,Data!$C$1:$X$81,21,FALSE)*25)=TRUE,VLOOKUP($A$19*A20,Data!$C$1:$X$81,21,FALSE)*25,0)</f>
        <v>0</v>
      </c>
      <c r="F20" t="e">
        <f t="shared" ref="F20:F27" si="10">C20/B20</f>
        <v>#DIV/0!</v>
      </c>
      <c r="G20" t="e">
        <f t="shared" ref="G20:G27" si="11">IF(E20&lt;0, IF(D20&lt;0,D20/E20,-10),IF(D20&lt;0,10,E20/D20))</f>
        <v>#DIV/0!</v>
      </c>
      <c r="H20">
        <v>1</v>
      </c>
      <c r="I20">
        <f>IF(ISNUMBER(VLOOKUP($H$19*H20,Data!$C$1:$D$81,2,FALSE)*25)=TRUE,VLOOKUP($H$19*H20,Data!$C$1:$D$81,2,FALSE)*25,0)</f>
        <v>0</v>
      </c>
      <c r="J20">
        <f>IF(ISNUMBER(VLOOKUP($H$19*H20,Data!$C$1:$X$81,22,FALSE)*25)=TRUE,VLOOKUP($H$19*H20,Data!$C$1:$X$81,22,FALSE)*25,0)</f>
        <v>0</v>
      </c>
      <c r="K20">
        <f>IF(ISNUMBER(VLOOKUP($H$19*H20,Data!$C$1:$X$81,3,FALSE)*25)=TRUE,VLOOKUP($H$19*H20,Data!$C$1:$X$81,3,FALSE)*25,0)</f>
        <v>0</v>
      </c>
      <c r="L20">
        <f>IF(ISNUMBER(VLOOKUP($H$19*H20,Data!$C$1:$X$81,21,FALSE)*25)=TRUE,VLOOKUP($H$19*H20,Data!$C$1:$X$81,21,FALSE)*25,0)</f>
        <v>0</v>
      </c>
      <c r="M20" t="e">
        <f t="shared" ref="M20:M27" si="12">J20/I20</f>
        <v>#DIV/0!</v>
      </c>
      <c r="N20" t="e">
        <f t="shared" ref="N20:N27" si="13">IF(L20&lt;0, IF(K20&lt;0,K20/L20,-10),IF(K20&lt;0,10,L20/K20))</f>
        <v>#DIV/0!</v>
      </c>
      <c r="O20">
        <v>1</v>
      </c>
      <c r="P20">
        <f>IF(ISNUMBER(VLOOKUP($O$19*O20,Data!$C$1:$D$81,2,FALSE)*25)=TRUE,VLOOKUP($O$19*O20,Data!$C$1:$D$81,2,FALSE)*25,0)</f>
        <v>0</v>
      </c>
      <c r="Q20">
        <f>IF(ISNUMBER(VLOOKUP($O$19*O20,Data!$C$1:$X$81,22,FALSE)*25)=TRUE,VLOOKUP($O$19*O20,Data!$C$1:$X$81,22,FALSE)*25,0)</f>
        <v>0</v>
      </c>
      <c r="R20">
        <f>IF(ISNUMBER(VLOOKUP($O$19*O20,Data!$C$1:$X$81,3,FALSE)*25)=TRUE,VLOOKUP($O$19*O20,Data!$C$1:$X$81,3,FALSE)*25,0)</f>
        <v>0</v>
      </c>
      <c r="S20">
        <f>IF(ISNUMBER(VLOOKUP($O$19*O20,Data!$C$1:$X$81,21,FALSE)*25)=TRUE,VLOOKUP($O$19*O20,Data!$C$1:$X$81,21,FALSE)*25,0)</f>
        <v>0</v>
      </c>
      <c r="T20" t="e">
        <f t="shared" ref="T20:T27" si="14">Q20/P20</f>
        <v>#DIV/0!</v>
      </c>
      <c r="U20" t="e">
        <f t="shared" ref="U20:U27" si="15">IF(S20&lt;0, IF(R20&lt;0,R20/S20,-10),IF(R20&lt;0,10,S20/R20))</f>
        <v>#DIV/0!</v>
      </c>
      <c r="V20">
        <v>1</v>
      </c>
      <c r="W20">
        <f>IF(ISNUMBER(VLOOKUP($V$19*V20,Data!$C$1:$D$81,2,FALSE)*25)=TRUE,VLOOKUP($V$19*V20,Data!$C$1:$D$81,2,FALSE)*25,0)</f>
        <v>0</v>
      </c>
      <c r="X20">
        <f>IF(ISNUMBER(VLOOKUP($V$19*V20,Data!$C$1:$X$81,22,FALSE)*25)=TRUE,VLOOKUP($V$19*V20,Data!$C$1:$X$81,22,FALSE)*25,0)</f>
        <v>0</v>
      </c>
      <c r="Y20">
        <f>IF(ISNUMBER(VLOOKUP($V$19*V20,Data!$C$1:$X$81,3,FALSE)*25)=TRUE,VLOOKUP($V$19*V20,Data!$C$1:$X$81,3,FALSE)*25,0)</f>
        <v>0</v>
      </c>
      <c r="Z20">
        <f>IF(ISNUMBER(VLOOKUP($V$19*V20,Data!$C$1:$X$81,21,FALSE)*25)=TRUE,VLOOKUP($V$19*V20,Data!$C$1:$X$81,21,FALSE)*25,0)</f>
        <v>0</v>
      </c>
      <c r="AA20" t="e">
        <f t="shared" ref="AA20:AA27" si="16">X20/W20</f>
        <v>#DIV/0!</v>
      </c>
      <c r="AB20" t="e">
        <f t="shared" ref="AB20:AB27" si="17">IF(Z20&lt;0, IF(Y20&lt;0,Y20/Z20,-10),IF(Y20&lt;0,10,Z20/Y20))</f>
        <v>#DIV/0!</v>
      </c>
      <c r="AC20">
        <v>1</v>
      </c>
      <c r="AD20">
        <f>IF(ISNUMBER(VLOOKUP($AC$19*AC20,Data!$C$1:$D$161,2,FALSE)*25)=TRUE,VLOOKUP($AC$19*AC20,Data!$C$1:$D$161,2,FALSE)*25,0)</f>
        <v>0</v>
      </c>
      <c r="AE20">
        <f>IF(ISNUMBER(VLOOKUP($AC$19*AC20,Data!$C$1:$X$161,22,FALSE)*25)=TRUE,VLOOKUP($AC$19*AC20,Data!$C$1:$X$161,22,FALSE)*25,0)</f>
        <v>0</v>
      </c>
      <c r="AF20">
        <f>IF(ISNUMBER(VLOOKUP($AC$19*AC20,Data!$C$1:$X$161,3,FALSE)*25)=TRUE,VLOOKUP($AC$19*AC20,Data!$C$1:$X$161,3,FALSE)*25,0)</f>
        <v>0</v>
      </c>
      <c r="AG20">
        <f>IF(ISNUMBER(VLOOKUP($AC$19*AC20,Data!$C$1:$X$161,21,FALSE)*25)=TRUE,VLOOKUP($AC$19*AC20,Data!$C$1:$X$161,21,FALSE)*25,0)</f>
        <v>0</v>
      </c>
      <c r="AH20" t="e">
        <f t="shared" ref="AH20:AH35" si="18">AE20/AD20</f>
        <v>#DIV/0!</v>
      </c>
      <c r="AI20" t="e">
        <f t="shared" ref="AI20:AI35" si="19">IF(AG20&lt;0, IF(AF20&lt;0,AF20/AG20,-10),IF(AF20&lt;0,10,AG20/AF20))</f>
        <v>#DIV/0!</v>
      </c>
    </row>
    <row r="21" spans="1:38" x14ac:dyDescent="0.3">
      <c r="A21">
        <v>2</v>
      </c>
      <c r="B21">
        <f>IF(ISNUMBER(VLOOKUP($A$19*A21,Data!$C$1:$D$81,2,FALSE)*25)=TRUE,VLOOKUP($A$19*A21,Data!$C$1:$D$81,2,FALSE)*25,0)</f>
        <v>4863475</v>
      </c>
      <c r="C21">
        <f>IF(ISNUMBER(VLOOKUP($A$19*A21,Data!$C$1:$X$81,22,FALSE)*25)=TRUE,VLOOKUP($A$19*A21,Data!$C$1:$X$81,22,FALSE)*25,0)</f>
        <v>165375</v>
      </c>
      <c r="D21">
        <f>IF(ISNUMBER(VLOOKUP($A$19*A21,Data!$C$1:$X$81,3,FALSE)*25)=TRUE,VLOOKUP($A$19*A21,Data!$C$1:$X$81,3,FALSE)*25,0)</f>
        <v>2186450</v>
      </c>
      <c r="E21">
        <f>IF(ISNUMBER(VLOOKUP($A$19*A21,Data!$C$1:$X$81,21,FALSE)*25)=TRUE,VLOOKUP($A$19*A21,Data!$C$1:$X$81,21,FALSE)*25,0)</f>
        <v>130175</v>
      </c>
      <c r="F21">
        <f t="shared" si="10"/>
        <v>3.4003464600928346E-2</v>
      </c>
      <c r="G21">
        <f t="shared" si="11"/>
        <v>5.9537149260216332E-2</v>
      </c>
      <c r="H21">
        <v>2</v>
      </c>
      <c r="I21">
        <f>IF(ISNUMBER(VLOOKUP($H$19*H21,Data!$C$1:$D$81,2,FALSE)*25)=TRUE,VLOOKUP($H$19*H21,Data!$C$1:$D$81,2,FALSE)*25,0)</f>
        <v>2944075</v>
      </c>
      <c r="J21">
        <f>IF(ISNUMBER(VLOOKUP($H$19*H21,Data!$C$1:$X$81,22,FALSE)*25)=TRUE,VLOOKUP($H$19*H21,Data!$C$1:$X$81,22,FALSE)*25,0)</f>
        <v>142975</v>
      </c>
      <c r="K21">
        <f>IF(ISNUMBER(VLOOKUP($H$19*H21,Data!$C$1:$X$81,3,FALSE)*25)=TRUE,VLOOKUP($H$19*H21,Data!$C$1:$X$81,3,FALSE)*25,0)</f>
        <v>2059375</v>
      </c>
      <c r="L21">
        <f>IF(ISNUMBER(VLOOKUP($H$19*H21,Data!$C$1:$X$81,21,FALSE)*25)=TRUE,VLOOKUP($H$19*H21,Data!$C$1:$X$81,21,FALSE)*25,0)</f>
        <v>127575</v>
      </c>
      <c r="M21">
        <f t="shared" si="12"/>
        <v>4.856364053225546E-2</v>
      </c>
      <c r="N21">
        <f t="shared" si="13"/>
        <v>6.1948406676783002E-2</v>
      </c>
      <c r="O21">
        <v>2</v>
      </c>
      <c r="P21">
        <f>IF(ISNUMBER(VLOOKUP($O$19*O21,Data!$C$1:$D$81,2,FALSE)*25)=TRUE,VLOOKUP($O$19*O21,Data!$C$1:$D$81,2,FALSE)*25,0)</f>
        <v>4654475</v>
      </c>
      <c r="Q21">
        <f>IF(ISNUMBER(VLOOKUP($O$19*O21,Data!$C$1:$X$81,22,FALSE)*25)=TRUE,VLOOKUP($O$19*O21,Data!$C$1:$X$81,22,FALSE)*25,0)</f>
        <v>638375</v>
      </c>
      <c r="R21">
        <f>IF(ISNUMBER(VLOOKUP($O$19*O21,Data!$C$1:$X$81,3,FALSE)*25)=TRUE,VLOOKUP($O$19*O21,Data!$C$1:$X$81,3,FALSE)*25,0)</f>
        <v>3031725</v>
      </c>
      <c r="S21">
        <f>IF(ISNUMBER(VLOOKUP($O$19*O21,Data!$C$1:$X$81,21,FALSE)*25)=TRUE,VLOOKUP($O$19*O21,Data!$C$1:$X$81,21,FALSE)*25,0)</f>
        <v>541700</v>
      </c>
      <c r="T21">
        <f t="shared" si="14"/>
        <v>0.13715295495195484</v>
      </c>
      <c r="U21">
        <f t="shared" si="15"/>
        <v>0.1786771557446668</v>
      </c>
      <c r="V21">
        <v>2</v>
      </c>
      <c r="W21">
        <f>IF(ISNUMBER(VLOOKUP($V$19*V21,Data!$C$1:$D$81,2,FALSE)*25)=TRUE,VLOOKUP($V$19*V21,Data!$C$1:$D$81,2,FALSE)*25,0)</f>
        <v>5104225</v>
      </c>
      <c r="X21">
        <f>IF(ISNUMBER(VLOOKUP($V$19*V21,Data!$C$1:$X$81,22,FALSE)*25)=TRUE,VLOOKUP($V$19*V21,Data!$C$1:$X$81,22,FALSE)*25,0)</f>
        <v>1269375</v>
      </c>
      <c r="Y21">
        <f>IF(ISNUMBER(VLOOKUP($V$19*V21,Data!$C$1:$X$81,3,FALSE)*25)=TRUE,VLOOKUP($V$19*V21,Data!$C$1:$X$81,3,FALSE)*25,0)</f>
        <v>4159200</v>
      </c>
      <c r="Z21">
        <f>IF(ISNUMBER(VLOOKUP($V$19*V21,Data!$C$1:$X$81,21,FALSE)*25)=TRUE,VLOOKUP($V$19*V21,Data!$C$1:$X$81,21,FALSE)*25,0)</f>
        <v>1247425</v>
      </c>
      <c r="AA21">
        <f t="shared" si="16"/>
        <v>0.24869103536775905</v>
      </c>
      <c r="AB21">
        <f t="shared" si="17"/>
        <v>0.29991945566455086</v>
      </c>
      <c r="AC21">
        <v>2</v>
      </c>
      <c r="AD21">
        <f>IF(ISNUMBER(VLOOKUP($AC$19*AC21,Data!$C$1:$D$161,2,FALSE)*25)=TRUE,VLOOKUP($AC$19*AC21,Data!$C$1:$D$161,2,FALSE)*25,0)</f>
        <v>15041650</v>
      </c>
      <c r="AE21">
        <f>IF(ISNUMBER(VLOOKUP($AC$19*AC21,Data!$C$1:$X$161,22,FALSE)*25)=TRUE,VLOOKUP($AC$19*AC21,Data!$C$1:$X$161,22,FALSE)*25,0)</f>
        <v>6477425</v>
      </c>
      <c r="AF21">
        <f>IF(ISNUMBER(VLOOKUP($AC$19*AC21,Data!$C$1:$X$161,3,FALSE)*25)=TRUE,VLOOKUP($AC$19*AC21,Data!$C$1:$X$161,3,FALSE)*25,0)</f>
        <v>12758700</v>
      </c>
      <c r="AG21">
        <f>IF(ISNUMBER(VLOOKUP($AC$19*AC21,Data!$C$1:$X$161,21,FALSE)*25)=TRUE,VLOOKUP($AC$19*AC21,Data!$C$1:$X$161,21,FALSE)*25,0)</f>
        <v>6371875</v>
      </c>
      <c r="AH21">
        <f t="shared" si="18"/>
        <v>0.43063261011923559</v>
      </c>
      <c r="AI21">
        <f t="shared" si="19"/>
        <v>0.49941412526354567</v>
      </c>
    </row>
    <row r="22" spans="1:38" x14ac:dyDescent="0.3">
      <c r="A22">
        <v>3</v>
      </c>
      <c r="B22">
        <f>IF(ISNUMBER(VLOOKUP($A$19*A22,Data!$C$1:$D$81,2,FALSE)*25)=TRUE,VLOOKUP($A$19*A22,Data!$C$1:$D$81,2,FALSE)*25,0)</f>
        <v>5135175</v>
      </c>
      <c r="C22">
        <f>IF(ISNUMBER(VLOOKUP($A$19*A22,Data!$C$1:$X$81,22,FALSE)*25)=TRUE,VLOOKUP($A$19*A22,Data!$C$1:$X$81,22,FALSE)*25,0)</f>
        <v>177025</v>
      </c>
      <c r="D22">
        <f>IF(ISNUMBER(VLOOKUP($A$19*A22,Data!$C$1:$X$81,3,FALSE)*25)=TRUE,VLOOKUP($A$19*A22,Data!$C$1:$X$81,3,FALSE)*25,0)</f>
        <v>2458150</v>
      </c>
      <c r="E22">
        <f>IF(ISNUMBER(VLOOKUP($A$19*A22,Data!$C$1:$X$81,21,FALSE)*25)=TRUE,VLOOKUP($A$19*A22,Data!$C$1:$X$81,21,FALSE)*25,0)</f>
        <v>141825</v>
      </c>
      <c r="F22">
        <f t="shared" si="10"/>
        <v>3.4473021854172448E-2</v>
      </c>
      <c r="G22">
        <f t="shared" si="11"/>
        <v>5.769582816345626E-2</v>
      </c>
      <c r="H22">
        <v>3</v>
      </c>
      <c r="I22">
        <f>IF(ISNUMBER(VLOOKUP($H$19*H22,Data!$C$1:$D$81,2,FALSE)*25)=TRUE,VLOOKUP($H$19*H22,Data!$C$1:$D$81,2,FALSE)*25,0)</f>
        <v>3060925</v>
      </c>
      <c r="J22">
        <f>IF(ISNUMBER(VLOOKUP($H$19*H22,Data!$C$1:$X$81,22,FALSE)*25)=TRUE,VLOOKUP($H$19*H22,Data!$C$1:$X$81,22,FALSE)*25,0)</f>
        <v>152075</v>
      </c>
      <c r="K22">
        <f>IF(ISNUMBER(VLOOKUP($H$19*H22,Data!$C$1:$X$81,3,FALSE)*25)=TRUE,VLOOKUP($H$19*H22,Data!$C$1:$X$81,3,FALSE)*25,0)</f>
        <v>2176225</v>
      </c>
      <c r="L22">
        <f>IF(ISNUMBER(VLOOKUP($H$19*H22,Data!$C$1:$X$81,21,FALSE)*25)=TRUE,VLOOKUP($H$19*H22,Data!$C$1:$X$81,21,FALSE)*25,0)</f>
        <v>136675</v>
      </c>
      <c r="M22">
        <f t="shared" si="12"/>
        <v>4.9682693956892114E-2</v>
      </c>
      <c r="N22">
        <f t="shared" si="13"/>
        <v>6.2803708256269464E-2</v>
      </c>
      <c r="O22">
        <v>3</v>
      </c>
      <c r="P22">
        <f>IF(ISNUMBER(VLOOKUP($O$19*O22,Data!$C$1:$D$81,2,FALSE)*25)=TRUE,VLOOKUP($O$19*O22,Data!$C$1:$D$81,2,FALSE)*25,0)</f>
        <v>5051650</v>
      </c>
      <c r="Q22">
        <f>IF(ISNUMBER(VLOOKUP($O$19*O22,Data!$C$1:$X$81,22,FALSE)*25)=TRUE,VLOOKUP($O$19*O22,Data!$C$1:$X$81,22,FALSE)*25,0)</f>
        <v>737650</v>
      </c>
      <c r="R22">
        <f>IF(ISNUMBER(VLOOKUP($O$19*O22,Data!$C$1:$X$81,3,FALSE)*25)=TRUE,VLOOKUP($O$19*O22,Data!$C$1:$X$81,3,FALSE)*25,0)</f>
        <v>3428900</v>
      </c>
      <c r="S22">
        <f>IF(ISNUMBER(VLOOKUP($O$19*O22,Data!$C$1:$X$81,21,FALSE)*25)=TRUE,VLOOKUP($O$19*O22,Data!$C$1:$X$81,21,FALSE)*25,0)</f>
        <v>640975</v>
      </c>
      <c r="T22">
        <f t="shared" si="14"/>
        <v>0.14602159690398187</v>
      </c>
      <c r="U22">
        <f t="shared" si="15"/>
        <v>0.18693312724197264</v>
      </c>
      <c r="V22">
        <v>3</v>
      </c>
      <c r="W22">
        <f>IF(ISNUMBER(VLOOKUP($V$19*V22,Data!$C$1:$D$81,2,FALSE)*25)=TRUE,VLOOKUP($V$19*V22,Data!$C$1:$D$81,2,FALSE)*25,0)</f>
        <v>5313500</v>
      </c>
      <c r="X22">
        <f>IF(ISNUMBER(VLOOKUP($V$19*V22,Data!$C$1:$X$81,22,FALSE)*25)=TRUE,VLOOKUP($V$19*V22,Data!$C$1:$X$81,22,FALSE)*25,0)</f>
        <v>1554150</v>
      </c>
      <c r="Y22">
        <f>IF(ISNUMBER(VLOOKUP($V$19*V22,Data!$C$1:$X$81,3,FALSE)*25)=TRUE,VLOOKUP($V$19*V22,Data!$C$1:$X$81,3,FALSE)*25,0)</f>
        <v>4368475</v>
      </c>
      <c r="Z22">
        <f>IF(ISNUMBER(VLOOKUP($V$19*V22,Data!$C$1:$X$81,21,FALSE)*25)=TRUE,VLOOKUP($V$19*V22,Data!$C$1:$X$81,21,FALSE)*25,0)</f>
        <v>1532200</v>
      </c>
      <c r="AA22">
        <f t="shared" si="16"/>
        <v>0.29249082525642234</v>
      </c>
      <c r="AB22">
        <f t="shared" si="17"/>
        <v>0.35074024688249333</v>
      </c>
      <c r="AC22">
        <v>3</v>
      </c>
      <c r="AD22">
        <f>IF(ISNUMBER(VLOOKUP($AC$19*AC22,Data!$C$1:$D$161,2,FALSE)*25)=TRUE,VLOOKUP($AC$19*AC22,Data!$C$1:$D$161,2,FALSE)*25,0)</f>
        <v>16722800</v>
      </c>
      <c r="AE22">
        <f>IF(ISNUMBER(VLOOKUP($AC$19*AC22,Data!$C$1:$X$161,22,FALSE)*25)=TRUE,VLOOKUP($AC$19*AC22,Data!$C$1:$X$161,22,FALSE)*25,0)</f>
        <v>7115275</v>
      </c>
      <c r="AF22">
        <f>IF(ISNUMBER(VLOOKUP($AC$19*AC22,Data!$C$1:$X$161,3,FALSE)*25)=TRUE,VLOOKUP($AC$19*AC22,Data!$C$1:$X$161,3,FALSE)*25,0)</f>
        <v>14439850</v>
      </c>
      <c r="AG22">
        <f>IF(ISNUMBER(VLOOKUP($AC$19*AC22,Data!$C$1:$X$161,21,FALSE)*25)=TRUE,VLOOKUP($AC$19*AC22,Data!$C$1:$X$161,21,FALSE)*25,0)</f>
        <v>7009725</v>
      </c>
      <c r="AH22">
        <f t="shared" si="18"/>
        <v>0.42548347166742412</v>
      </c>
      <c r="AI22">
        <f t="shared" si="19"/>
        <v>0.48544306208166982</v>
      </c>
    </row>
    <row r="23" spans="1:38" x14ac:dyDescent="0.3">
      <c r="A23">
        <v>4</v>
      </c>
      <c r="B23">
        <f>IF(ISNUMBER(VLOOKUP($A$19*A23,Data!$C$1:$D$81,2,FALSE)*25)=TRUE,VLOOKUP($A$19*A23,Data!$C$1:$D$81,2,FALSE)*25,0)</f>
        <v>0</v>
      </c>
      <c r="C23">
        <f>IF(ISNUMBER(VLOOKUP($A$19*A23,Data!$C$1:$X$81,22,FALSE)*25)=TRUE,VLOOKUP($A$19*A23,Data!$C$1:$X$81,22,FALSE)*25,0)</f>
        <v>0</v>
      </c>
      <c r="D23">
        <f>IF(ISNUMBER(VLOOKUP($A$19*A23,Data!$C$1:$X$81,3,FALSE)*25)=TRUE,VLOOKUP($A$19*A23,Data!$C$1:$X$81,3,FALSE)*25,0)</f>
        <v>0</v>
      </c>
      <c r="E23">
        <f>IF(ISNUMBER(VLOOKUP($A$19*A23,Data!$C$1:$X$81,21,FALSE)*25)=TRUE,VLOOKUP($A$19*A23,Data!$C$1:$X$81,21,FALSE)*25,0)</f>
        <v>0</v>
      </c>
      <c r="F23" t="e">
        <f t="shared" si="10"/>
        <v>#DIV/0!</v>
      </c>
      <c r="G23" t="e">
        <f t="shared" si="11"/>
        <v>#DIV/0!</v>
      </c>
      <c r="H23">
        <v>4</v>
      </c>
      <c r="I23">
        <f>IF(ISNUMBER(VLOOKUP($H$19*H23,Data!$C$1:$D$81,2,FALSE)*25)=TRUE,VLOOKUP($H$19*H23,Data!$C$1:$D$81,2,FALSE)*25,0)</f>
        <v>3060925</v>
      </c>
      <c r="J23">
        <f>IF(ISNUMBER(VLOOKUP($H$19*H23,Data!$C$1:$X$81,22,FALSE)*25)=TRUE,VLOOKUP($H$19*H23,Data!$C$1:$X$81,22,FALSE)*25,0)</f>
        <v>152075</v>
      </c>
      <c r="K23">
        <f>IF(ISNUMBER(VLOOKUP($H$19*H23,Data!$C$1:$X$81,3,FALSE)*25)=TRUE,VLOOKUP($H$19*H23,Data!$C$1:$X$81,3,FALSE)*25,0)</f>
        <v>2176225</v>
      </c>
      <c r="L23">
        <f>IF(ISNUMBER(VLOOKUP($H$19*H23,Data!$C$1:$X$81,21,FALSE)*25)=TRUE,VLOOKUP($H$19*H23,Data!$C$1:$X$81,21,FALSE)*25,0)</f>
        <v>136675</v>
      </c>
      <c r="M23">
        <f t="shared" si="12"/>
        <v>4.9682693956892114E-2</v>
      </c>
      <c r="N23">
        <f t="shared" si="13"/>
        <v>6.2803708256269464E-2</v>
      </c>
      <c r="O23">
        <v>4</v>
      </c>
      <c r="P23">
        <f>IF(ISNUMBER(VLOOKUP($O$19*O23,Data!$C$1:$D$81,2,FALSE)*25)=TRUE,VLOOKUP($O$19*O23,Data!$C$1:$D$81,2,FALSE)*25,0)</f>
        <v>5051650</v>
      </c>
      <c r="Q23">
        <f>IF(ISNUMBER(VLOOKUP($O$19*O23,Data!$C$1:$X$81,22,FALSE)*25)=TRUE,VLOOKUP($O$19*O23,Data!$C$1:$X$81,22,FALSE)*25,0)</f>
        <v>737650</v>
      </c>
      <c r="R23">
        <f>IF(ISNUMBER(VLOOKUP($O$19*O23,Data!$C$1:$X$81,3,FALSE)*25)=TRUE,VLOOKUP($O$19*O23,Data!$C$1:$X$81,3,FALSE)*25,0)</f>
        <v>3428900</v>
      </c>
      <c r="S23">
        <f>IF(ISNUMBER(VLOOKUP($O$19*O23,Data!$C$1:$X$81,21,FALSE)*25)=TRUE,VLOOKUP($O$19*O23,Data!$C$1:$X$81,21,FALSE)*25,0)</f>
        <v>640975</v>
      </c>
      <c r="T23">
        <f t="shared" si="14"/>
        <v>0.14602159690398187</v>
      </c>
      <c r="U23">
        <f t="shared" si="15"/>
        <v>0.18693312724197264</v>
      </c>
      <c r="V23">
        <v>4</v>
      </c>
      <c r="W23">
        <f>IF(ISNUMBER(VLOOKUP($V$19*V23,Data!$C$1:$D$81,2,FALSE)*25)=TRUE,VLOOKUP($V$19*V23,Data!$C$1:$D$81,2,FALSE)*25,0)</f>
        <v>5313500</v>
      </c>
      <c r="X23">
        <f>IF(ISNUMBER(VLOOKUP($V$19*V23,Data!$C$1:$X$81,22,FALSE)*25)=TRUE,VLOOKUP($V$19*V23,Data!$C$1:$X$81,22,FALSE)*25,0)</f>
        <v>1554150</v>
      </c>
      <c r="Y23">
        <f>IF(ISNUMBER(VLOOKUP($V$19*V23,Data!$C$1:$X$81,3,FALSE)*25)=TRUE,VLOOKUP($V$19*V23,Data!$C$1:$X$81,3,FALSE)*25,0)</f>
        <v>4368475</v>
      </c>
      <c r="Z23">
        <f>IF(ISNUMBER(VLOOKUP($V$19*V23,Data!$C$1:$X$81,21,FALSE)*25)=TRUE,VLOOKUP($V$19*V23,Data!$C$1:$X$81,21,FALSE)*25,0)</f>
        <v>1532200</v>
      </c>
      <c r="AA23">
        <f t="shared" si="16"/>
        <v>0.29249082525642234</v>
      </c>
      <c r="AB23">
        <f t="shared" si="17"/>
        <v>0.35074024688249333</v>
      </c>
      <c r="AC23">
        <v>4</v>
      </c>
      <c r="AD23">
        <f>IF(ISNUMBER(VLOOKUP($AC$19*AC23,Data!$C$1:$D$161,2,FALSE)*25)=TRUE,VLOOKUP($AC$19*AC23,Data!$C$1:$D$161,2,FALSE)*25,0)</f>
        <v>16722800</v>
      </c>
      <c r="AE23">
        <f>IF(ISNUMBER(VLOOKUP($AC$19*AC23,Data!$C$1:$X$161,22,FALSE)*25)=TRUE,VLOOKUP($AC$19*AC23,Data!$C$1:$X$161,22,FALSE)*25,0)</f>
        <v>7115275</v>
      </c>
      <c r="AF23">
        <f>IF(ISNUMBER(VLOOKUP($AC$19*AC23,Data!$C$1:$X$161,3,FALSE)*25)=TRUE,VLOOKUP($AC$19*AC23,Data!$C$1:$X$161,3,FALSE)*25,0)</f>
        <v>14439850</v>
      </c>
      <c r="AG23">
        <f>IF(ISNUMBER(VLOOKUP($AC$19*AC23,Data!$C$1:$X$161,21,FALSE)*25)=TRUE,VLOOKUP($AC$19*AC23,Data!$C$1:$X$161,21,FALSE)*25,0)</f>
        <v>7009725</v>
      </c>
      <c r="AH23">
        <f t="shared" si="18"/>
        <v>0.42548347166742412</v>
      </c>
      <c r="AI23">
        <f t="shared" si="19"/>
        <v>0.48544306208166982</v>
      </c>
    </row>
    <row r="24" spans="1:38" x14ac:dyDescent="0.3">
      <c r="A24">
        <v>5</v>
      </c>
      <c r="B24">
        <f>IF(ISNUMBER(VLOOKUP($A$19*A24,Data!$C$1:$D$81,2,FALSE)*25)=TRUE,VLOOKUP($A$19*A24,Data!$C$1:$D$81,2,FALSE)*25,0)</f>
        <v>0</v>
      </c>
      <c r="C24">
        <f>IF(ISNUMBER(VLOOKUP($A$19*A24,Data!$C$1:$X$81,22,FALSE)*25)=TRUE,VLOOKUP($A$19*A24,Data!$C$1:$X$81,22,FALSE)*25,0)</f>
        <v>0</v>
      </c>
      <c r="D24">
        <f>IF(ISNUMBER(VLOOKUP($A$19*A24,Data!$C$1:$X$81,3,FALSE)*25)=TRUE,VLOOKUP($A$19*A24,Data!$C$1:$X$81,3,FALSE)*25,0)</f>
        <v>0</v>
      </c>
      <c r="E24">
        <f>IF(ISNUMBER(VLOOKUP($A$19*A24,Data!$C$1:$X$81,21,FALSE)*25)=TRUE,VLOOKUP($A$19*A24,Data!$C$1:$X$81,21,FALSE)*25,0)</f>
        <v>0</v>
      </c>
      <c r="F24" t="e">
        <f t="shared" si="10"/>
        <v>#DIV/0!</v>
      </c>
      <c r="G24" t="e">
        <f t="shared" si="11"/>
        <v>#DIV/0!</v>
      </c>
      <c r="H24">
        <v>5</v>
      </c>
      <c r="I24">
        <f>IF(ISNUMBER(VLOOKUP($H$19*H24,Data!$C$1:$D$81,2,FALSE)*25)=TRUE,VLOOKUP($H$19*H24,Data!$C$1:$D$81,2,FALSE)*25,0)</f>
        <v>2945275</v>
      </c>
      <c r="J24">
        <f>IF(ISNUMBER(VLOOKUP($H$19*H24,Data!$C$1:$X$81,22,FALSE)*25)=TRUE,VLOOKUP($H$19*H24,Data!$C$1:$X$81,22,FALSE)*25,0)</f>
        <v>139750</v>
      </c>
      <c r="K24">
        <f>IF(ISNUMBER(VLOOKUP($H$19*H24,Data!$C$1:$X$81,3,FALSE)*25)=TRUE,VLOOKUP($H$19*H24,Data!$C$1:$X$81,3,FALSE)*25,0)</f>
        <v>2060575</v>
      </c>
      <c r="L24">
        <f>IF(ISNUMBER(VLOOKUP($H$19*H24,Data!$C$1:$X$81,21,FALSE)*25)=TRUE,VLOOKUP($H$19*H24,Data!$C$1:$X$81,21,FALSE)*25,0)</f>
        <v>124350</v>
      </c>
      <c r="M24">
        <f t="shared" si="12"/>
        <v>4.7448879985739871E-2</v>
      </c>
      <c r="N24">
        <f t="shared" si="13"/>
        <v>6.0347233175205947E-2</v>
      </c>
      <c r="O24">
        <v>5</v>
      </c>
      <c r="P24">
        <f>IF(ISNUMBER(VLOOKUP($O$19*O24,Data!$C$1:$D$81,2,FALSE)*25)=TRUE,VLOOKUP($O$19*O24,Data!$C$1:$D$81,2,FALSE)*25,0)</f>
        <v>5353325</v>
      </c>
      <c r="Q24">
        <f>IF(ISNUMBER(VLOOKUP($O$19*O24,Data!$C$1:$X$81,22,FALSE)*25)=TRUE,VLOOKUP($O$19*O24,Data!$C$1:$X$81,22,FALSE)*25,0)</f>
        <v>685925</v>
      </c>
      <c r="R24">
        <f>IF(ISNUMBER(VLOOKUP($O$19*O24,Data!$C$1:$X$81,3,FALSE)*25)=TRUE,VLOOKUP($O$19*O24,Data!$C$1:$X$81,3,FALSE)*25,0)</f>
        <v>3730575</v>
      </c>
      <c r="S24">
        <f>IF(ISNUMBER(VLOOKUP($O$19*O24,Data!$C$1:$X$81,21,FALSE)*25)=TRUE,VLOOKUP($O$19*O24,Data!$C$1:$X$81,21,FALSE)*25,0)</f>
        <v>589250</v>
      </c>
      <c r="T24">
        <f t="shared" si="14"/>
        <v>0.12813064777498098</v>
      </c>
      <c r="U24">
        <f t="shared" si="15"/>
        <v>0.15795152221842476</v>
      </c>
      <c r="V24">
        <v>5</v>
      </c>
      <c r="W24">
        <f>IF(ISNUMBER(VLOOKUP($V$19*V24,Data!$C$1:$D$81,2,FALSE)*25)=TRUE,VLOOKUP($V$19*V24,Data!$C$1:$D$81,2,FALSE)*25,0)</f>
        <v>5952350</v>
      </c>
      <c r="X24">
        <f>IF(ISNUMBER(VLOOKUP($V$19*V24,Data!$C$1:$X$81,22,FALSE)*25)=TRUE,VLOOKUP($V$19*V24,Data!$C$1:$X$81,22,FALSE)*25,0)</f>
        <v>1087050</v>
      </c>
      <c r="Y24">
        <f>IF(ISNUMBER(VLOOKUP($V$19*V24,Data!$C$1:$X$81,3,FALSE)*25)=TRUE,VLOOKUP($V$19*V24,Data!$C$1:$X$81,3,FALSE)*25,0)</f>
        <v>5007325</v>
      </c>
      <c r="Z24">
        <f>IF(ISNUMBER(VLOOKUP($V$19*V24,Data!$C$1:$X$81,21,FALSE)*25)=TRUE,VLOOKUP($V$19*V24,Data!$C$1:$X$81,21,FALSE)*25,0)</f>
        <v>1065100</v>
      </c>
      <c r="AA24">
        <f t="shared" si="16"/>
        <v>0.1826253496518182</v>
      </c>
      <c r="AB24">
        <f t="shared" si="17"/>
        <v>0.21270838222004762</v>
      </c>
      <c r="AC24">
        <v>5</v>
      </c>
      <c r="AD24">
        <f>IF(ISNUMBER(VLOOKUP($AC$19*AC24,Data!$C$1:$D$161,2,FALSE)*25)=TRUE,VLOOKUP($AC$19*AC24,Data!$C$1:$D$161,2,FALSE)*25,0)</f>
        <v>18201300</v>
      </c>
      <c r="AE24">
        <f>IF(ISNUMBER(VLOOKUP($AC$19*AC24,Data!$C$1:$X$161,22,FALSE)*25)=TRUE,VLOOKUP($AC$19*AC24,Data!$C$1:$X$161,22,FALSE)*25,0)</f>
        <v>5820400</v>
      </c>
      <c r="AF24">
        <f>IF(ISNUMBER(VLOOKUP($AC$19*AC24,Data!$C$1:$X$161,3,FALSE)*25)=TRUE,VLOOKUP($AC$19*AC24,Data!$C$1:$X$161,3,FALSE)*25,0)</f>
        <v>15918350</v>
      </c>
      <c r="AG24">
        <f>IF(ISNUMBER(VLOOKUP($AC$19*AC24,Data!$C$1:$X$161,21,FALSE)*25)=TRUE,VLOOKUP($AC$19*AC24,Data!$C$1:$X$161,21,FALSE)*25,0)</f>
        <v>5714850</v>
      </c>
      <c r="AH24">
        <f t="shared" si="18"/>
        <v>0.31977935641959643</v>
      </c>
      <c r="AI24">
        <f t="shared" si="19"/>
        <v>0.35901019892137059</v>
      </c>
    </row>
    <row r="25" spans="1:38" x14ac:dyDescent="0.3">
      <c r="A25">
        <v>6</v>
      </c>
      <c r="B25">
        <f>IF(ISNUMBER(VLOOKUP($A$19*A25,Data!$C$1:$D$81,2,FALSE)*25)=TRUE,VLOOKUP($A$19*A25,Data!$C$1:$D$81,2,FALSE)*25,0)</f>
        <v>0</v>
      </c>
      <c r="C25">
        <f>IF(ISNUMBER(VLOOKUP($A$19*A25,Data!$C$1:$X$81,22,FALSE)*25)=TRUE,VLOOKUP($A$19*A25,Data!$C$1:$X$81,22,FALSE)*25,0)</f>
        <v>0</v>
      </c>
      <c r="D25">
        <f>IF(ISNUMBER(VLOOKUP($A$19*A25,Data!$C$1:$X$81,3,FALSE)*25)=TRUE,VLOOKUP($A$19*A25,Data!$C$1:$X$81,3,FALSE)*25,0)</f>
        <v>0</v>
      </c>
      <c r="E25">
        <f>IF(ISNUMBER(VLOOKUP($A$19*A25,Data!$C$1:$X$81,21,FALSE)*25)=TRUE,VLOOKUP($A$19*A25,Data!$C$1:$X$81,21,FALSE)*25,0)</f>
        <v>0</v>
      </c>
      <c r="F25" t="e">
        <f t="shared" si="10"/>
        <v>#DIV/0!</v>
      </c>
      <c r="G25" t="e">
        <f t="shared" si="11"/>
        <v>#DIV/0!</v>
      </c>
      <c r="H25">
        <v>6</v>
      </c>
      <c r="I25">
        <f>IF(ISNUMBER(VLOOKUP($H$19*H25,Data!$C$1:$D$81,2,FALSE)*25)=TRUE,VLOOKUP($H$19*H25,Data!$C$1:$D$81,2,FALSE)*25,0)</f>
        <v>3064975</v>
      </c>
      <c r="J25">
        <f>IF(ISNUMBER(VLOOKUP($H$19*H25,Data!$C$1:$X$81,22,FALSE)*25)=TRUE,VLOOKUP($H$19*H25,Data!$C$1:$X$81,22,FALSE)*25,0)</f>
        <v>132250</v>
      </c>
      <c r="K25">
        <f>IF(ISNUMBER(VLOOKUP($H$19*H25,Data!$C$1:$X$81,3,FALSE)*25)=TRUE,VLOOKUP($H$19*H25,Data!$C$1:$X$81,3,FALSE)*25,0)</f>
        <v>2180275</v>
      </c>
      <c r="L25">
        <f>IF(ISNUMBER(VLOOKUP($H$19*H25,Data!$C$1:$X$81,21,FALSE)*25)=TRUE,VLOOKUP($H$19*H25,Data!$C$1:$X$81,21,FALSE)*25,0)</f>
        <v>116850</v>
      </c>
      <c r="M25">
        <f t="shared" si="12"/>
        <v>4.3148802192513803E-2</v>
      </c>
      <c r="N25">
        <f t="shared" si="13"/>
        <v>5.3594156700416229E-2</v>
      </c>
      <c r="O25">
        <v>6</v>
      </c>
      <c r="P25">
        <f>IF(ISNUMBER(VLOOKUP($O$19*O25,Data!$C$1:$D$81,2,FALSE)*25)=TRUE,VLOOKUP($O$19*O25,Data!$C$1:$D$81,2,FALSE)*25,0)</f>
        <v>5409875</v>
      </c>
      <c r="Q25">
        <f>IF(ISNUMBER(VLOOKUP($O$19*O25,Data!$C$1:$X$81,22,FALSE)*25)=TRUE,VLOOKUP($O$19*O25,Data!$C$1:$X$81,22,FALSE)*25,0)</f>
        <v>641700</v>
      </c>
      <c r="R25">
        <f>IF(ISNUMBER(VLOOKUP($O$19*O25,Data!$C$1:$X$81,3,FALSE)*25)=TRUE,VLOOKUP($O$19*O25,Data!$C$1:$X$81,3,FALSE)*25,0)</f>
        <v>3787125</v>
      </c>
      <c r="S25">
        <f>IF(ISNUMBER(VLOOKUP($O$19*O25,Data!$C$1:$X$81,21,FALSE)*25)=TRUE,VLOOKUP($O$19*O25,Data!$C$1:$X$81,21,FALSE)*25,0)</f>
        <v>545025</v>
      </c>
      <c r="T25">
        <f t="shared" si="14"/>
        <v>0.11861641904849927</v>
      </c>
      <c r="U25">
        <f t="shared" si="15"/>
        <v>0.14391523913258739</v>
      </c>
      <c r="V25">
        <v>6</v>
      </c>
      <c r="W25">
        <f>IF(ISNUMBER(VLOOKUP($V$19*V25,Data!$C$1:$D$81,2,FALSE)*25)=TRUE,VLOOKUP($V$19*V25,Data!$C$1:$D$81,2,FALSE)*25,0)</f>
        <v>5979750</v>
      </c>
      <c r="X25">
        <f>IF(ISNUMBER(VLOOKUP($V$19*V25,Data!$C$1:$X$81,22,FALSE)*25)=TRUE,VLOOKUP($V$19*V25,Data!$C$1:$X$81,22,FALSE)*25,0)</f>
        <v>935050</v>
      </c>
      <c r="Y25">
        <f>IF(ISNUMBER(VLOOKUP($V$19*V25,Data!$C$1:$X$81,3,FALSE)*25)=TRUE,VLOOKUP($V$19*V25,Data!$C$1:$X$81,3,FALSE)*25,0)</f>
        <v>5034725</v>
      </c>
      <c r="Z25">
        <f>IF(ISNUMBER(VLOOKUP($V$19*V25,Data!$C$1:$X$81,21,FALSE)*25)=TRUE,VLOOKUP($V$19*V25,Data!$C$1:$X$81,21,FALSE)*25,0)</f>
        <v>913100</v>
      </c>
      <c r="AA25">
        <f t="shared" si="16"/>
        <v>0.1563694134370166</v>
      </c>
      <c r="AB25">
        <f t="shared" si="17"/>
        <v>0.18136045166319908</v>
      </c>
      <c r="AC25">
        <v>6</v>
      </c>
      <c r="AD25">
        <f>IF(ISNUMBER(VLOOKUP($AC$19*AC25,Data!$C$1:$D$161,2,FALSE)*25)=TRUE,VLOOKUP($AC$19*AC25,Data!$C$1:$D$161,2,FALSE)*25,0)</f>
        <v>16975400</v>
      </c>
      <c r="AE25">
        <f>IF(ISNUMBER(VLOOKUP($AC$19*AC25,Data!$C$1:$X$161,22,FALSE)*25)=TRUE,VLOOKUP($AC$19*AC25,Data!$C$1:$X$161,22,FALSE)*25,0)</f>
        <v>4999675</v>
      </c>
      <c r="AF25">
        <f>IF(ISNUMBER(VLOOKUP($AC$19*AC25,Data!$C$1:$X$161,3,FALSE)*25)=TRUE,VLOOKUP($AC$19*AC25,Data!$C$1:$X$161,3,FALSE)*25,0)</f>
        <v>14692450</v>
      </c>
      <c r="AG25">
        <f>IF(ISNUMBER(VLOOKUP($AC$19*AC25,Data!$C$1:$X$161,21,FALSE)*25)=TRUE,VLOOKUP($AC$19*AC25,Data!$C$1:$X$161,21,FALSE)*25,0)</f>
        <v>4894125</v>
      </c>
      <c r="AH25">
        <f t="shared" si="18"/>
        <v>0.29452472401239438</v>
      </c>
      <c r="AI25">
        <f t="shared" si="19"/>
        <v>0.33310475788585292</v>
      </c>
    </row>
    <row r="26" spans="1:38" x14ac:dyDescent="0.3">
      <c r="A26">
        <v>7</v>
      </c>
      <c r="B26">
        <f>IF(ISNUMBER(VLOOKUP($A$19*A26,Data!$C$1:$D$81,2,FALSE)*25)=TRUE,VLOOKUP($A$19*A26,Data!$C$1:$D$81,2,FALSE)*25,0)</f>
        <v>0</v>
      </c>
      <c r="C26">
        <f>IF(ISNUMBER(VLOOKUP($A$19*A26,Data!$C$1:$X$81,22,FALSE)*25)=TRUE,VLOOKUP($A$19*A26,Data!$C$1:$X$81,22,FALSE)*25,0)</f>
        <v>0</v>
      </c>
      <c r="D26">
        <f>IF(ISNUMBER(VLOOKUP($A$19*A26,Data!$C$1:$X$81,3,FALSE)*25)=TRUE,VLOOKUP($A$19*A26,Data!$C$1:$X$81,3,FALSE)*25,0)</f>
        <v>0</v>
      </c>
      <c r="E26">
        <f>IF(ISNUMBER(VLOOKUP($A$19*A26,Data!$C$1:$X$81,21,FALSE)*25)=TRUE,VLOOKUP($A$19*A26,Data!$C$1:$X$81,21,FALSE)*25,0)</f>
        <v>0</v>
      </c>
      <c r="F26" t="e">
        <f t="shared" si="10"/>
        <v>#DIV/0!</v>
      </c>
      <c r="G26" t="e">
        <f t="shared" si="11"/>
        <v>#DIV/0!</v>
      </c>
      <c r="H26">
        <v>7</v>
      </c>
      <c r="I26">
        <f>IF(ISNUMBER(VLOOKUP($H$19*H26,Data!$C$1:$D$81,2,FALSE)*25)=TRUE,VLOOKUP($H$19*H26,Data!$C$1:$D$81,2,FALSE)*25,0)</f>
        <v>3254600</v>
      </c>
      <c r="J26">
        <f>IF(ISNUMBER(VLOOKUP($H$19*H26,Data!$C$1:$X$81,22,FALSE)*25)=TRUE,VLOOKUP($H$19*H26,Data!$C$1:$X$81,22,FALSE)*25,0)</f>
        <v>125975</v>
      </c>
      <c r="K26">
        <f>IF(ISNUMBER(VLOOKUP($H$19*H26,Data!$C$1:$X$81,3,FALSE)*25)=TRUE,VLOOKUP($H$19*H26,Data!$C$1:$X$81,3,FALSE)*25,0)</f>
        <v>2369900</v>
      </c>
      <c r="L26">
        <f>IF(ISNUMBER(VLOOKUP($H$19*H26,Data!$C$1:$X$81,21,FALSE)*25)=TRUE,VLOOKUP($H$19*H26,Data!$C$1:$X$81,21,FALSE)*25,0)</f>
        <v>110575</v>
      </c>
      <c r="M26">
        <f t="shared" si="12"/>
        <v>3.8706753518097464E-2</v>
      </c>
      <c r="N26">
        <f t="shared" si="13"/>
        <v>4.6658086839107132E-2</v>
      </c>
      <c r="O26">
        <v>7</v>
      </c>
      <c r="P26">
        <f>IF(ISNUMBER(VLOOKUP($O$19*O26,Data!$C$1:$D$81,2,FALSE)*25)=TRUE,VLOOKUP($O$19*O26,Data!$C$1:$D$81,2,FALSE)*25,0)</f>
        <v>5323125</v>
      </c>
      <c r="Q26">
        <f>IF(ISNUMBER(VLOOKUP($O$19*O26,Data!$C$1:$X$81,22,FALSE)*25)=TRUE,VLOOKUP($O$19*O26,Data!$C$1:$X$81,22,FALSE)*25,0)</f>
        <v>616750</v>
      </c>
      <c r="R26">
        <f>IF(ISNUMBER(VLOOKUP($O$19*O26,Data!$C$1:$X$81,3,FALSE)*25)=TRUE,VLOOKUP($O$19*O26,Data!$C$1:$X$81,3,FALSE)*25,0)</f>
        <v>3700375</v>
      </c>
      <c r="S26">
        <f>IF(ISNUMBER(VLOOKUP($O$19*O26,Data!$C$1:$X$81,21,FALSE)*25)=TRUE,VLOOKUP($O$19*O26,Data!$C$1:$X$81,21,FALSE)*25,0)</f>
        <v>520075</v>
      </c>
      <c r="T26">
        <f t="shared" si="14"/>
        <v>0.11586239286133615</v>
      </c>
      <c r="U26">
        <f t="shared" si="15"/>
        <v>0.14054656622639597</v>
      </c>
      <c r="V26">
        <v>7</v>
      </c>
      <c r="W26">
        <f>IF(ISNUMBER(VLOOKUP($V$19*V26,Data!$C$1:$D$81,2,FALSE)*25)=TRUE,VLOOKUP($V$19*V26,Data!$C$1:$D$81,2,FALSE)*25,0)</f>
        <v>6054775</v>
      </c>
      <c r="X26">
        <f>IF(ISNUMBER(VLOOKUP($V$19*V26,Data!$C$1:$X$81,22,FALSE)*25)=TRUE,VLOOKUP($V$19*V26,Data!$C$1:$X$81,22,FALSE)*25,0)</f>
        <v>851750</v>
      </c>
      <c r="Y26">
        <f>IF(ISNUMBER(VLOOKUP($V$19*V26,Data!$C$1:$X$81,3,FALSE)*25)=TRUE,VLOOKUP($V$19*V26,Data!$C$1:$X$81,3,FALSE)*25,0)</f>
        <v>5109750</v>
      </c>
      <c r="Z26">
        <f>IF(ISNUMBER(VLOOKUP($V$19*V26,Data!$C$1:$X$81,21,FALSE)*25)=TRUE,VLOOKUP($V$19*V26,Data!$C$1:$X$81,21,FALSE)*25,0)</f>
        <v>829800</v>
      </c>
      <c r="AA26">
        <f t="shared" si="16"/>
        <v>0.14067409606467624</v>
      </c>
      <c r="AB26">
        <f t="shared" si="17"/>
        <v>0.16239542051959488</v>
      </c>
      <c r="AC26">
        <v>7</v>
      </c>
      <c r="AD26">
        <f>IF(ISNUMBER(VLOOKUP($AC$19*AC26,Data!$C$1:$D$161,2,FALSE)*25)=TRUE,VLOOKUP($AC$19*AC26,Data!$C$1:$D$161,2,FALSE)*25,0)</f>
        <v>16075375</v>
      </c>
      <c r="AE26">
        <f>IF(ISNUMBER(VLOOKUP($AC$19*AC26,Data!$C$1:$X$161,22,FALSE)*25)=TRUE,VLOOKUP($AC$19*AC26,Data!$C$1:$X$161,22,FALSE)*25,0)</f>
        <v>4711850</v>
      </c>
      <c r="AF26">
        <f>IF(ISNUMBER(VLOOKUP($AC$19*AC26,Data!$C$1:$X$161,3,FALSE)*25)=TRUE,VLOOKUP($AC$19*AC26,Data!$C$1:$X$161,3,FALSE)*25,0)</f>
        <v>13792425</v>
      </c>
      <c r="AG26">
        <f>IF(ISNUMBER(VLOOKUP($AC$19*AC26,Data!$C$1:$X$161,21,FALSE)*25)=TRUE,VLOOKUP($AC$19*AC26,Data!$C$1:$X$161,21,FALSE)*25,0)</f>
        <v>4606300</v>
      </c>
      <c r="AH26">
        <f t="shared" si="18"/>
        <v>0.2931098030372542</v>
      </c>
      <c r="AI26">
        <f t="shared" si="19"/>
        <v>0.33397317730565873</v>
      </c>
    </row>
    <row r="27" spans="1:38" x14ac:dyDescent="0.3">
      <c r="A27">
        <v>8</v>
      </c>
      <c r="B27">
        <f>IF(ISNUMBER(VLOOKUP($A$19*A27,Data!$C$1:$D$81,2,FALSE)*25)=TRUE,VLOOKUP($A$19*A27,Data!$C$1:$D$81,2,FALSE)*25,0)</f>
        <v>0</v>
      </c>
      <c r="C27">
        <f>IF(ISNUMBER(VLOOKUP($A$19*A27,Data!$C$1:$X$81,22,FALSE)*25)=TRUE,VLOOKUP($A$19*A27,Data!$C$1:$X$81,22,FALSE)*25,0)</f>
        <v>0</v>
      </c>
      <c r="D27">
        <f>IF(ISNUMBER(VLOOKUP($A$19*A27,Data!$C$1:$X$81,3,FALSE)*25)=TRUE,VLOOKUP($A$19*A27,Data!$C$1:$X$81,3,FALSE)*25,0)</f>
        <v>0</v>
      </c>
      <c r="E27">
        <f>IF(ISNUMBER(VLOOKUP($A$19*A27,Data!$C$1:$X$81,21,FALSE)*25)=TRUE,VLOOKUP($A$19*A27,Data!$C$1:$X$81,21,FALSE)*25,0)</f>
        <v>0</v>
      </c>
      <c r="F27" t="e">
        <f t="shared" si="10"/>
        <v>#DIV/0!</v>
      </c>
      <c r="G27" t="e">
        <f t="shared" si="11"/>
        <v>#DIV/0!</v>
      </c>
      <c r="H27">
        <v>8</v>
      </c>
      <c r="I27">
        <f>IF(ISNUMBER(VLOOKUP($H$19*H27,Data!$C$1:$D$81,2,FALSE)*25)=TRUE,VLOOKUP($H$19*H27,Data!$C$1:$D$81,2,FALSE)*25,0)</f>
        <v>3229675</v>
      </c>
      <c r="J27">
        <f>IF(ISNUMBER(VLOOKUP($H$19*H27,Data!$C$1:$X$81,22,FALSE)*25)=TRUE,VLOOKUP($H$19*H27,Data!$C$1:$X$81,22,FALSE)*25,0)</f>
        <v>130175</v>
      </c>
      <c r="K27">
        <f>IF(ISNUMBER(VLOOKUP($H$19*H27,Data!$C$1:$X$81,3,FALSE)*25)=TRUE,VLOOKUP($H$19*H27,Data!$C$1:$X$81,3,FALSE)*25,0)</f>
        <v>2344975</v>
      </c>
      <c r="L27">
        <f>IF(ISNUMBER(VLOOKUP($H$19*H27,Data!$C$1:$X$81,21,FALSE)*25)=TRUE,VLOOKUP($H$19*H27,Data!$C$1:$X$81,21,FALSE)*25,0)</f>
        <v>114775</v>
      </c>
      <c r="M27">
        <f t="shared" si="12"/>
        <v>4.0305913133674438E-2</v>
      </c>
      <c r="N27">
        <f t="shared" si="13"/>
        <v>4.8945084702395551E-2</v>
      </c>
      <c r="O27">
        <v>8</v>
      </c>
      <c r="P27">
        <f>IF(ISNUMBER(VLOOKUP($O$19*O27,Data!$C$1:$D$81,2,FALSE)*25)=TRUE,VLOOKUP($O$19*O27,Data!$C$1:$D$81,2,FALSE)*25,0)</f>
        <v>5328125</v>
      </c>
      <c r="Q27">
        <f>IF(ISNUMBER(VLOOKUP($O$19*O27,Data!$C$1:$X$81,22,FALSE)*25)=TRUE,VLOOKUP($O$19*O27,Data!$C$1:$X$81,22,FALSE)*25,0)</f>
        <v>608125</v>
      </c>
      <c r="R27">
        <f>IF(ISNUMBER(VLOOKUP($O$19*O27,Data!$C$1:$X$81,3,FALSE)*25)=TRUE,VLOOKUP($O$19*O27,Data!$C$1:$X$81,3,FALSE)*25,0)</f>
        <v>3705375</v>
      </c>
      <c r="S27">
        <f>IF(ISNUMBER(VLOOKUP($O$19*O27,Data!$C$1:$X$81,21,FALSE)*25)=TRUE,VLOOKUP($O$19*O27,Data!$C$1:$X$81,21,FALSE)*25,0)</f>
        <v>511450</v>
      </c>
      <c r="T27">
        <f t="shared" si="14"/>
        <v>0.11413489736070381</v>
      </c>
      <c r="U27">
        <f t="shared" si="15"/>
        <v>0.13802921431703943</v>
      </c>
      <c r="V27">
        <v>8</v>
      </c>
      <c r="W27">
        <f>IF(ISNUMBER(VLOOKUP($V$19*V27,Data!$C$1:$D$81,2,FALSE)*25)=TRUE,VLOOKUP($V$19*V27,Data!$C$1:$D$81,2,FALSE)*25,0)</f>
        <v>6403375</v>
      </c>
      <c r="X27">
        <f>IF(ISNUMBER(VLOOKUP($V$19*V27,Data!$C$1:$X$81,22,FALSE)*25)=TRUE,VLOOKUP($V$19*V27,Data!$C$1:$X$81,22,FALSE)*25,0)</f>
        <v>794650</v>
      </c>
      <c r="Y27">
        <f>IF(ISNUMBER(VLOOKUP($V$19*V27,Data!$C$1:$X$81,3,FALSE)*25)=TRUE,VLOOKUP($V$19*V27,Data!$C$1:$X$81,3,FALSE)*25,0)</f>
        <v>5458350</v>
      </c>
      <c r="Z27">
        <f>IF(ISNUMBER(VLOOKUP($V$19*V27,Data!$C$1:$X$81,21,FALSE)*25)=TRUE,VLOOKUP($V$19*V27,Data!$C$1:$X$81,21,FALSE)*25,0)</f>
        <v>772700</v>
      </c>
      <c r="AA27">
        <f t="shared" si="16"/>
        <v>0.12409861986842875</v>
      </c>
      <c r="AB27">
        <f t="shared" si="17"/>
        <v>0.14156292652541519</v>
      </c>
      <c r="AC27">
        <v>8</v>
      </c>
      <c r="AD27">
        <f>IF(ISNUMBER(VLOOKUP($AC$19*AC27,Data!$C$1:$D$161,2,FALSE)*25)=TRUE,VLOOKUP($AC$19*AC27,Data!$C$1:$D$161,2,FALSE)*25,0)</f>
        <v>15656025</v>
      </c>
      <c r="AE27">
        <f>IF(ISNUMBER(VLOOKUP($AC$19*AC27,Data!$C$1:$X$161,22,FALSE)*25)=TRUE,VLOOKUP($AC$19*AC27,Data!$C$1:$X$161,22,FALSE)*25,0)</f>
        <v>4613775</v>
      </c>
      <c r="AF27">
        <f>IF(ISNUMBER(VLOOKUP($AC$19*AC27,Data!$C$1:$X$161,3,FALSE)*25)=TRUE,VLOOKUP($AC$19*AC27,Data!$C$1:$X$161,3,FALSE)*25,0)</f>
        <v>13373075</v>
      </c>
      <c r="AG27">
        <f>IF(ISNUMBER(VLOOKUP($AC$19*AC27,Data!$C$1:$X$161,21,FALSE)*25)=TRUE,VLOOKUP($AC$19*AC27,Data!$C$1:$X$161,21,FALSE)*25,0)</f>
        <v>4508225</v>
      </c>
      <c r="AH27">
        <f t="shared" si="18"/>
        <v>0.29469645072743561</v>
      </c>
      <c r="AI27">
        <f t="shared" si="19"/>
        <v>0.33711207033535667</v>
      </c>
    </row>
    <row r="28" spans="1:38" x14ac:dyDescent="0.3">
      <c r="AC28">
        <v>9</v>
      </c>
      <c r="AD28">
        <f>IF(ISNUMBER(VLOOKUP($AC$19*AC28,Data!$C$1:$D$161,2,FALSE)*25)=TRUE,VLOOKUP($AC$19*AC28,Data!$C$1:$D$161,2,FALSE)*25,0)</f>
        <v>17988450</v>
      </c>
      <c r="AE28">
        <f>IF(ISNUMBER(VLOOKUP($AC$19*AC28,Data!$C$1:$X$161,22,FALSE)*25)=TRUE,VLOOKUP($AC$19*AC28,Data!$C$1:$X$161,22,FALSE)*25,0)</f>
        <v>5542800</v>
      </c>
      <c r="AF28">
        <f>IF(ISNUMBER(VLOOKUP($AC$19*AC28,Data!$C$1:$X$161,3,FALSE)*25)=TRUE,VLOOKUP($AC$19*AC28,Data!$C$1:$X$161,3,FALSE)*25,0)</f>
        <v>15705500</v>
      </c>
      <c r="AG28">
        <f>IF(ISNUMBER(VLOOKUP($AC$19*AC28,Data!$C$1:$X$161,21,FALSE)*25)=TRUE,VLOOKUP($AC$19*AC28,Data!$C$1:$X$161,21,FALSE)*25,0)</f>
        <v>5437250</v>
      </c>
      <c r="AH28">
        <f t="shared" si="18"/>
        <v>0.30813105075756941</v>
      </c>
      <c r="AI28">
        <f t="shared" si="19"/>
        <v>0.34620037566457612</v>
      </c>
    </row>
    <row r="29" spans="1:38" x14ac:dyDescent="0.3">
      <c r="AC29">
        <v>10</v>
      </c>
      <c r="AD29">
        <f>IF(ISNUMBER(VLOOKUP($AC$19*AC29,Data!$C$1:$D$161,2,FALSE)*25)=TRUE,VLOOKUP($AC$19*AC29,Data!$C$1:$D$161,2,FALSE)*25,0)</f>
        <v>17929750</v>
      </c>
      <c r="AE29">
        <f>IF(ISNUMBER(VLOOKUP($AC$19*AC29,Data!$C$1:$X$161,22,FALSE)*25)=TRUE,VLOOKUP($AC$19*AC29,Data!$C$1:$X$161,22,FALSE)*25,0)</f>
        <v>5661975</v>
      </c>
      <c r="AF29">
        <f>IF(ISNUMBER(VLOOKUP($AC$19*AC29,Data!$C$1:$X$161,3,FALSE)*25)=TRUE,VLOOKUP($AC$19*AC29,Data!$C$1:$X$161,3,FALSE)*25,0)</f>
        <v>15646800</v>
      </c>
      <c r="AG29">
        <f>IF(ISNUMBER(VLOOKUP($AC$19*AC29,Data!$C$1:$X$161,21,FALSE)*25)=TRUE,VLOOKUP($AC$19*AC29,Data!$C$1:$X$161,21,FALSE)*25,0)</f>
        <v>5556425</v>
      </c>
      <c r="AH29">
        <f t="shared" si="18"/>
        <v>0.3157866116370836</v>
      </c>
      <c r="AI29">
        <f t="shared" si="19"/>
        <v>0.35511574251604161</v>
      </c>
    </row>
    <row r="30" spans="1:38" x14ac:dyDescent="0.3">
      <c r="AC30">
        <v>11</v>
      </c>
      <c r="AD30">
        <f>IF(ISNUMBER(VLOOKUP($AC$19*AC30,Data!$C$1:$D$161,2,FALSE)*25)=TRUE,VLOOKUP($AC$19*AC30,Data!$C$1:$D$161,2,FALSE)*25,0)</f>
        <v>16975550</v>
      </c>
      <c r="AE30">
        <f>IF(ISNUMBER(VLOOKUP($AC$19*AC30,Data!$C$1:$X$161,22,FALSE)*25)=TRUE,VLOOKUP($AC$19*AC30,Data!$C$1:$X$161,22,FALSE)*25,0)</f>
        <v>5973775</v>
      </c>
      <c r="AF30">
        <f>IF(ISNUMBER(VLOOKUP($AC$19*AC30,Data!$C$1:$X$161,3,FALSE)*25)=TRUE,VLOOKUP($AC$19*AC30,Data!$C$1:$X$161,3,FALSE)*25,0)</f>
        <v>14692600</v>
      </c>
      <c r="AG30">
        <f>IF(ISNUMBER(VLOOKUP($AC$19*AC30,Data!$C$1:$X$161,21,FALSE)*25)=TRUE,VLOOKUP($AC$19*AC30,Data!$C$1:$X$161,21,FALSE)*25,0)</f>
        <v>5868225</v>
      </c>
      <c r="AH30">
        <f t="shared" si="18"/>
        <v>0.35190465110114255</v>
      </c>
      <c r="AI30">
        <f t="shared" si="19"/>
        <v>0.39940003811442493</v>
      </c>
    </row>
    <row r="31" spans="1:38" x14ac:dyDescent="0.3">
      <c r="AC31">
        <v>12</v>
      </c>
      <c r="AD31">
        <f>IF(ISNUMBER(VLOOKUP($AC$19*AC31,Data!$C$1:$D$161,2,FALSE)*25)=TRUE,VLOOKUP($AC$19*AC31,Data!$C$1:$D$161,2,FALSE)*25,0)</f>
        <v>16439975</v>
      </c>
      <c r="AE31">
        <f>IF(ISNUMBER(VLOOKUP($AC$19*AC31,Data!$C$1:$X$161,22,FALSE)*25)=TRUE,VLOOKUP($AC$19*AC31,Data!$C$1:$X$161,22,FALSE)*25,0)</f>
        <v>6688975</v>
      </c>
      <c r="AF31">
        <f>IF(ISNUMBER(VLOOKUP($AC$19*AC31,Data!$C$1:$X$161,3,FALSE)*25)=TRUE,VLOOKUP($AC$19*AC31,Data!$C$1:$X$161,3,FALSE)*25,0)</f>
        <v>14157025</v>
      </c>
      <c r="AG31">
        <f>IF(ISNUMBER(VLOOKUP($AC$19*AC31,Data!$C$1:$X$161,21,FALSE)*25)=TRUE,VLOOKUP($AC$19*AC31,Data!$C$1:$X$161,21,FALSE)*25,0)</f>
        <v>6583425</v>
      </c>
      <c r="AH31">
        <f t="shared" si="18"/>
        <v>0.40687257736097532</v>
      </c>
      <c r="AI31">
        <f t="shared" si="19"/>
        <v>0.46502884610290651</v>
      </c>
    </row>
    <row r="32" spans="1:38" x14ac:dyDescent="0.3">
      <c r="AC32">
        <v>13</v>
      </c>
      <c r="AD32">
        <f>IF(ISNUMBER(VLOOKUP($AC$19*AC32,Data!$C$1:$D$161,2,FALSE)*25)=TRUE,VLOOKUP($AC$19*AC32,Data!$C$1:$D$161,2,FALSE)*25,0)</f>
        <v>16312175</v>
      </c>
      <c r="AE32">
        <f>IF(ISNUMBER(VLOOKUP($AC$19*AC32,Data!$C$1:$X$161,22,FALSE)*25)=TRUE,VLOOKUP($AC$19*AC32,Data!$C$1:$X$161,22,FALSE)*25,0)</f>
        <v>7088725</v>
      </c>
      <c r="AF32">
        <f>IF(ISNUMBER(VLOOKUP($AC$19*AC32,Data!$C$1:$X$161,3,FALSE)*25)=TRUE,VLOOKUP($AC$19*AC32,Data!$C$1:$X$161,3,FALSE)*25,0)</f>
        <v>14029225</v>
      </c>
      <c r="AG32">
        <f>IF(ISNUMBER(VLOOKUP($AC$19*AC32,Data!$C$1:$X$161,21,FALSE)*25)=TRUE,VLOOKUP($AC$19*AC32,Data!$C$1:$X$161,21,FALSE)*25,0)</f>
        <v>6983175</v>
      </c>
      <c r="AH32">
        <f t="shared" si="18"/>
        <v>0.4345665124362631</v>
      </c>
      <c r="AI32">
        <f t="shared" si="19"/>
        <v>0.4977591420766293</v>
      </c>
    </row>
    <row r="33" spans="1:41" x14ac:dyDescent="0.3">
      <c r="AC33">
        <v>14</v>
      </c>
      <c r="AD33">
        <f>IF(ISNUMBER(VLOOKUP($AC$19*AC33,Data!$C$1:$D$161,2,FALSE)*25)=TRUE,VLOOKUP($AC$19*AC33,Data!$C$1:$D$161,2,FALSE)*25,0)</f>
        <v>14714325</v>
      </c>
      <c r="AE33">
        <f>IF(ISNUMBER(VLOOKUP($AC$19*AC33,Data!$C$1:$X$161,22,FALSE)*25)=TRUE,VLOOKUP($AC$19*AC33,Data!$C$1:$X$161,22,FALSE)*25,0)</f>
        <v>6843325</v>
      </c>
      <c r="AF33">
        <f>IF(ISNUMBER(VLOOKUP($AC$19*AC33,Data!$C$1:$X$161,3,FALSE)*25)=TRUE,VLOOKUP($AC$19*AC33,Data!$C$1:$X$161,3,FALSE)*25,0)</f>
        <v>12431375</v>
      </c>
      <c r="AG33">
        <f>IF(ISNUMBER(VLOOKUP($AC$19*AC33,Data!$C$1:$X$161,21,FALSE)*25)=TRUE,VLOOKUP($AC$19*AC33,Data!$C$1:$X$161,21,FALSE)*25,0)</f>
        <v>6737775</v>
      </c>
      <c r="AH33">
        <f t="shared" si="18"/>
        <v>0.46507909808978665</v>
      </c>
      <c r="AI33">
        <f t="shared" si="19"/>
        <v>0.5419975666408583</v>
      </c>
    </row>
    <row r="34" spans="1:41" x14ac:dyDescent="0.3">
      <c r="AC34">
        <v>15</v>
      </c>
      <c r="AD34">
        <f>IF(ISNUMBER(VLOOKUP($AC$19*AC34,Data!$C$1:$D$161,2,FALSE)*25)=TRUE,VLOOKUP($AC$19*AC34,Data!$C$1:$D$161,2,FALSE)*25,0)</f>
        <v>14172975</v>
      </c>
      <c r="AE34">
        <f>IF(ISNUMBER(VLOOKUP($AC$19*AC34,Data!$C$1:$X$161,22,FALSE)*25)=TRUE,VLOOKUP($AC$19*AC34,Data!$C$1:$X$161,22,FALSE)*25,0)</f>
        <v>6378875</v>
      </c>
      <c r="AF34">
        <f>IF(ISNUMBER(VLOOKUP($AC$19*AC34,Data!$C$1:$X$161,3,FALSE)*25)=TRUE,VLOOKUP($AC$19*AC34,Data!$C$1:$X$161,3,FALSE)*25,0)</f>
        <v>11890025</v>
      </c>
      <c r="AG34">
        <f>IF(ISNUMBER(VLOOKUP($AC$19*AC34,Data!$C$1:$X$161,21,FALSE)*25)=TRUE,VLOOKUP($AC$19*AC34,Data!$C$1:$X$161,21,FALSE)*25,0)</f>
        <v>6273325</v>
      </c>
      <c r="AH34">
        <f t="shared" si="18"/>
        <v>0.45007311450136617</v>
      </c>
      <c r="AI34">
        <f t="shared" si="19"/>
        <v>0.52761243142886582</v>
      </c>
    </row>
    <row r="35" spans="1:41" x14ac:dyDescent="0.3">
      <c r="AC35">
        <v>16</v>
      </c>
      <c r="AD35">
        <f>IF(ISNUMBER(VLOOKUP($AC$19*AC35,Data!$C$1:$D$161,2,FALSE)*25)=TRUE,VLOOKUP($AC$19*AC35,Data!$C$1:$D$161,2,FALSE)*25,0)</f>
        <v>15196175</v>
      </c>
      <c r="AE35">
        <f>IF(ISNUMBER(VLOOKUP($AC$19*AC35,Data!$C$1:$X$161,22,FALSE)*25)=TRUE,VLOOKUP($AC$19*AC35,Data!$C$1:$X$161,22,FALSE)*25,0)</f>
        <v>4482825</v>
      </c>
      <c r="AF35">
        <f>IF(ISNUMBER(VLOOKUP($AC$19*AC35,Data!$C$1:$X$161,3,FALSE)*25)=TRUE,VLOOKUP($AC$19*AC35,Data!$C$1:$X$161,3,FALSE)*25,0)</f>
        <v>12913225</v>
      </c>
      <c r="AG35">
        <f>IF(ISNUMBER(VLOOKUP($AC$19*AC35,Data!$C$1:$X$161,21,FALSE)*25)=TRUE,VLOOKUP($AC$19*AC35,Data!$C$1:$X$161,21,FALSE)*25,0)</f>
        <v>4377275</v>
      </c>
      <c r="AH35">
        <f t="shared" si="18"/>
        <v>0.29499693179369152</v>
      </c>
      <c r="AI35">
        <f t="shared" si="19"/>
        <v>0.33897612718743769</v>
      </c>
    </row>
    <row r="37" spans="1:41" x14ac:dyDescent="0.3">
      <c r="A37" t="s">
        <v>35</v>
      </c>
      <c r="E37" t="s">
        <v>3</v>
      </c>
    </row>
    <row r="38" spans="1:41" x14ac:dyDescent="0.3">
      <c r="A38" t="s">
        <v>27</v>
      </c>
      <c r="B38" t="s">
        <v>30</v>
      </c>
      <c r="C38" t="s">
        <v>31</v>
      </c>
      <c r="D38" t="s">
        <v>36</v>
      </c>
      <c r="E38" t="s">
        <v>30</v>
      </c>
      <c r="F38" t="s">
        <v>31</v>
      </c>
      <c r="G38" t="s">
        <v>37</v>
      </c>
      <c r="H38" t="s">
        <v>38</v>
      </c>
      <c r="J38" t="s">
        <v>39</v>
      </c>
      <c r="K38" t="s">
        <v>40</v>
      </c>
      <c r="L38" t="s">
        <v>41</v>
      </c>
      <c r="M38" t="s">
        <v>42</v>
      </c>
      <c r="N38" t="s">
        <v>43</v>
      </c>
      <c r="O38" t="s">
        <v>44</v>
      </c>
      <c r="P38" t="s">
        <v>45</v>
      </c>
      <c r="T38" t="s">
        <v>40</v>
      </c>
      <c r="U38" t="s">
        <v>46</v>
      </c>
      <c r="V38" t="s">
        <v>47</v>
      </c>
      <c r="W38" t="s">
        <v>48</v>
      </c>
      <c r="X38" t="s">
        <v>49</v>
      </c>
      <c r="Y38" t="s">
        <v>50</v>
      </c>
      <c r="Z38" t="s">
        <v>51</v>
      </c>
      <c r="AA38" t="s">
        <v>52</v>
      </c>
      <c r="AB38" t="s">
        <v>53</v>
      </c>
      <c r="AC38" t="s">
        <v>54</v>
      </c>
      <c r="AD38" t="s">
        <v>55</v>
      </c>
      <c r="AE38" t="s">
        <v>47</v>
      </c>
      <c r="AF38" t="s">
        <v>48</v>
      </c>
      <c r="AG38" t="s">
        <v>49</v>
      </c>
      <c r="AH38" t="s">
        <v>50</v>
      </c>
      <c r="AI38" t="s">
        <v>51</v>
      </c>
      <c r="AJ38" t="s">
        <v>56</v>
      </c>
      <c r="AK38" t="s">
        <v>57</v>
      </c>
      <c r="AL38" t="s">
        <v>58</v>
      </c>
      <c r="AM38" t="s">
        <v>59</v>
      </c>
      <c r="AN38" t="s">
        <v>60</v>
      </c>
    </row>
    <row r="39" spans="1:41" x14ac:dyDescent="0.3">
      <c r="A39">
        <v>1</v>
      </c>
      <c r="B39">
        <f>(IF(ISNUMBER(VLOOKUP($A$1*A39,Data!$C$2:$X$81,2,FALSE))=TRUE,VLOOKUP($A$1*A39,Data!$C$2:$X$81,2,FALSE),0)*Entry!$E$2+ IF(ISNUMBER(VLOOKUP($H$1*A39,Data!$C$2:$X$81,2,FALSE))=TRUE,VLOOKUP($H$1*A39,Data!$C$2:$X$81,2,FALSE),0)*Entry!$E$3+IF(ISNUMBER(VLOOKUP($O$1*A39,Data!$C$2:$X$81,2,FALSE))=TRUE,VLOOKUP($O$1*A39,Data!$C$2:$X$81,2,FALSE),0)*Entry!$E$4+IF(ISNUMBER(VLOOKUP($V$1*A39,Data!$C$2:$X$81,2,FALSE))=TRUE,VLOOKUP($V$1*A39,Data!$C$2:$X$81,2,FALSE),0)*Entry!$E$5+IF(ISNUMBER(VLOOKUP($AC$1*A39,Data!$C$2:$X$81,2,FALSE))=TRUE,VLOOKUP($AC$1*A39,Data!$C$2:$X$81,2,FALSE),0)*Entry!$E$6+IF(ISNUMBER(VLOOKUP($AC$19*A39,Data!$C$2:$X$81,2,FALSE))=TRUE,VLOOKUP($AC$19*A39,Data!$C$2:$X$81,2,FALSE),0)*Entry!$E$7+IF(ISNUMBER(VLOOKUP($V$19*A39,Data!$C$2:$X$81,2,FALSE))=TRUE,VLOOKUP($V$19*A39,Data!$C$2:$X$81,2,FALSE),0)*Entry!$E$8+IF(ISNUMBER(VLOOKUP($O$19*A39,Data!$C$2:$X$81,2,FALSE))=TRUE,VLOOKUP($O$19*A39,Data!$C$2:$X$81,2,FALSE),0)*Entry!$E$9+IF(ISNUMBER(VLOOKUP($H$19*A39,Data!$C$2:$X$81,2,FALSE))=TRUE,VLOOKUP($H$19*A39,Data!$C$2:$X$81,2,FALSE),0)*Entry!$E$10+IF(ISNUMBER(VLOOKUP($A$19*A39,Data!$C$2:$X$81,2,FALSE))=TRUE,VLOOKUP($A$19*A39,Data!$C$2:$X$81,2,FALSE),0)*Entry!$E$11)/4</f>
        <v>0</v>
      </c>
      <c r="C39">
        <f>(IF(ISNUMBER(VLOOKUP($A$1*A39,Data!$C$2:$X$81,22,FALSE))=TRUE,VLOOKUP($A$1*A39,Data!$C$2:$X$81,22,FALSE),0)*Entry!$E$2+ IF(ISNUMBER(VLOOKUP($H$1*A39,Data!$C$2:$X$81,22,FALSE))=TRUE,VLOOKUP($H$1*A39,Data!$C$2:$X$81,22,FALSE),0)*Entry!$E$3+IF(ISNUMBER(VLOOKUP($O$1*A39,Data!$C$2:$X$81,22,FALSE))=TRUE,VLOOKUP($O$1*A39,Data!$C$2:$X$81,22,FALSE),0)*Entry!$E$4+IF(ISNUMBER(VLOOKUP($V$1*A39,Data!$C$2:$X$81,22,FALSE))=TRUE,VLOOKUP($V$1*A39,Data!$C$2:$X$81,22,FALSE),0)*Entry!$E$5+IF(ISNUMBER(VLOOKUP($AC$1*A39,Data!$C$2:$X$81,22,FALSE))=TRUE,VLOOKUP($AC$1*A39,Data!$C$2:$X$81,22,FALSE),0)*Entry!$E$6+IF(ISNUMBER(VLOOKUP($AC$19*A39,Data!$C$2:$X$81,22,FALSE))=TRUE,VLOOKUP($AC$19*A39,Data!$C$2:$X$81,22,FALSE),0)*Entry!$E$7+IF(ISNUMBER(VLOOKUP($V$19*A39,Data!$C$2:$X$81,22,FALSE))=TRUE,VLOOKUP($V$19*A39,Data!$C$2:$X$81,22,FALSE),0)*Entry!$E$8+IF(ISNUMBER(VLOOKUP($O$19*A39,Data!$C$2:$X$81,22,FALSE))=TRUE,VLOOKUP($O$19*A39,Data!$C$2:$X$81,22,FALSE),0)*Entry!$E$9+IF(ISNUMBER(VLOOKUP($H$19*A39,Data!$C$2:$X$81,22,FALSE))=TRUE,VLOOKUP($H$19*A39,Data!$C$2:$X$81,22,FALSE),0)*Entry!$E$10+IF(ISNUMBER(VLOOKUP($A$19*A39,Data!$C$2:$X$81,22,FALSE))=TRUE,VLOOKUP($A$19*A39,Data!$C$2:$X$81,22,FALSE),0)*Entry!$E$11)/4</f>
        <v>0</v>
      </c>
      <c r="D39" s="12" t="e">
        <f t="shared" ref="D39:D46" si="20">C39/B39</f>
        <v>#DIV/0!</v>
      </c>
      <c r="E39">
        <f>(IF(ISNUMBER(VLOOKUP($V$1*A39,Data!$C$2:$X$81,2,FALSE))=TRUE,VLOOKUP($V$1*A39,Data!$C$2:$X$81,2,FALSE),0)*Entry!$F$5+IF(ISNUMBER(VLOOKUP($AC$1*A39,Data!$C$2:$X$81,2,FALSE))=TRUE,VLOOKUP($AC$1*A39,Data!$C$2:$X$81,2,FALSE),0)*Entry!$F$6+IF(ISNUMBER(VLOOKUP($AC$19*A39,Data!$C$2:$X$81,2,FALSE))=TRUE,VLOOKUP($AC$19*A39,Data!$C$2:$X$81,2,FALSE),0)*Entry!$F$7+IF(ISNUMBER(VLOOKUP($V$19*A39,Data!$C$2:$X$81,2,FALSE))=TRUE,VLOOKUP($V$19*A39,Data!$C$2:$X$81,2,FALSE),0)*Entry!$F$8)/4</f>
        <v>0</v>
      </c>
      <c r="F39">
        <f>(IF(ISNUMBER(VLOOKUP($V$1*A39,Data!$C$2:$X$81,22,FALSE))=TRUE,VLOOKUP($V$1*A39,Data!$C$2:$X$81,22,FALSE),0)*Entry!$F$5+IF(ISNUMBER(VLOOKUP($AC$1*A39,Data!$C$2:$X$81,22,FALSE))=TRUE,VLOOKUP($AC$1*A39,Data!$C$2:$X$81,22,FALSE),0)*Entry!$F$6+IF(ISNUMBER(VLOOKUP($AC$19*A39,Data!$C$2:$X$81,22,FALSE))=TRUE,VLOOKUP($AC$19*A39,Data!$C$2:$X$81,22,FALSE),0)*Entry!$F$7+IF(ISNUMBER(VLOOKUP($V$19*A39,Data!$C$2:$X$81,22,FALSE))=TRUE,VLOOKUP($V$19*A39,Data!$C$2:$X$81,22,FALSE),0)*Entry!$F$8)/4</f>
        <v>0</v>
      </c>
      <c r="G39" s="12" t="e">
        <f t="shared" ref="G39:G46" si="21">F39/E39</f>
        <v>#DIV/0!</v>
      </c>
      <c r="H39" s="12">
        <f>Entry!B4</f>
        <v>1</v>
      </c>
      <c r="J39">
        <v>1</v>
      </c>
      <c r="K39" s="12">
        <f>K40-50</f>
        <v>24350</v>
      </c>
      <c r="L39">
        <f>VLOOKUP(K39,Data!$C$1:$X$81,6,FALSE)</f>
        <v>0</v>
      </c>
      <c r="M39">
        <f>VLOOKUP(K39,Data!$C$1:$X$81,18,FALSE)</f>
        <v>0</v>
      </c>
      <c r="N39" s="12">
        <f>Entry!$A$8-K39</f>
        <v>218</v>
      </c>
      <c r="O39" s="12">
        <f t="shared" ref="O39:O48" si="22">L39-N39</f>
        <v>-218</v>
      </c>
      <c r="P39" s="12">
        <f t="shared" ref="P39:P48" si="23">M39+N39</f>
        <v>218</v>
      </c>
      <c r="T39" s="12">
        <f>Entry!$A$8</f>
        <v>24568</v>
      </c>
      <c r="U39" s="6">
        <f t="shared" ref="U39:U48" si="24">LN(T39/K39)</f>
        <v>8.9129336099224524E-3</v>
      </c>
      <c r="V39">
        <f>VLOOKUP(K39,Data!$C$1:$X$81,5,FALSE)/100</f>
        <v>0</v>
      </c>
      <c r="W39">
        <f ca="1">(Entry!$A$16+((V39)^2)/2)*Entry!$A$18</f>
        <v>5.7534246575342461E-4</v>
      </c>
      <c r="X39">
        <f ca="1">V39*SQRT(Entry!$A$18)</f>
        <v>0</v>
      </c>
      <c r="Y39" t="e">
        <f t="shared" ref="Y39:Y48" ca="1" si="25">(U39+W39)/X39</f>
        <v>#DIV/0!</v>
      </c>
      <c r="Z39" t="e">
        <f t="shared" ref="Z39:Z48" ca="1" si="26">Y39-X39</f>
        <v>#DIV/0!</v>
      </c>
      <c r="AA39" t="e">
        <f t="shared" ref="AA39:AA48" ca="1" si="27">_xlfn.NORM.S.DIST(Y39,TRUE)</f>
        <v>#DIV/0!</v>
      </c>
      <c r="AB39" t="e">
        <f t="shared" ref="AB39:AB48" ca="1" si="28">_xlfn.NORM.S.DIST(Z39,TRUE)</f>
        <v>#DIV/0!</v>
      </c>
      <c r="AC39">
        <f ca="1">EXP(-Entry!$A$16*Entry!$A$18)</f>
        <v>0.9994248230119861</v>
      </c>
      <c r="AD39" t="e">
        <f t="shared" ref="AD39:AD48" ca="1" si="29">T39*AA39-K39*AC39*AB39</f>
        <v>#DIV/0!</v>
      </c>
      <c r="AE39">
        <f>VLOOKUP(K39,Data!$C$1:$X$81,19,FALSE)/100</f>
        <v>0</v>
      </c>
      <c r="AF39">
        <f ca="1">(Entry!$A$16+((AE39)^2)/2)*Entry!$A$18</f>
        <v>5.7534246575342461E-4</v>
      </c>
      <c r="AG39">
        <f ca="1">AE39*SQRT(Entry!$A$18)</f>
        <v>0</v>
      </c>
      <c r="AH39" t="e">
        <f t="shared" ref="AH39:AH48" ca="1" si="30">(U39+AF39)/AG39</f>
        <v>#DIV/0!</v>
      </c>
      <c r="AI39" t="e">
        <f t="shared" ref="AI39:AI48" ca="1" si="31">AH39-AG39</f>
        <v>#DIV/0!</v>
      </c>
      <c r="AJ39" t="e">
        <f t="shared" ref="AJ39:AJ48" ca="1" si="32">_xlfn.NORM.S.DIST(-AH39,TRUE)</f>
        <v>#DIV/0!</v>
      </c>
      <c r="AK39" t="e">
        <f t="shared" ref="AK39:AK48" ca="1" si="33">_xlfn.NORM.S.DIST(-AI39,TRUE)</f>
        <v>#DIV/0!</v>
      </c>
      <c r="AL39" t="e">
        <f t="shared" ref="AL39:AL48" ca="1" si="34">K39*AC39*AK39-T39*AJ39</f>
        <v>#DIV/0!</v>
      </c>
      <c r="AM39" s="6" t="e">
        <f t="shared" ref="AM39:AM48" ca="1" si="35">(L39-AD39)/AD39</f>
        <v>#DIV/0!</v>
      </c>
      <c r="AN39" s="6" t="e">
        <f t="shared" ref="AN39:AN48" ca="1" si="36">(M39-AL39)/AL39</f>
        <v>#DIV/0!</v>
      </c>
      <c r="AO39" s="12">
        <f t="shared" ref="AO39:AO48" si="37">K39</f>
        <v>24350</v>
      </c>
    </row>
    <row r="40" spans="1:41" x14ac:dyDescent="0.3">
      <c r="A40">
        <v>2</v>
      </c>
      <c r="B40">
        <f>(IF(ISNUMBER(VLOOKUP($A$1*A40,Data!$C$2:$X$81,2,FALSE))=TRUE,VLOOKUP($A$1*A40,Data!$C$2:$X$81,2,FALSE),0)*Entry!$E$2+ IF(ISNUMBER(VLOOKUP($H$1*A40,Data!$C$2:$X$81,2,FALSE))=TRUE,VLOOKUP($H$1*A40,Data!$C$2:$X$81,2,FALSE),0)*Entry!$E$3+IF(ISNUMBER(VLOOKUP($O$1*A40,Data!$C$2:$X$81,2,FALSE))=TRUE,VLOOKUP($O$1*A40,Data!$C$2:$X$81,2,FALSE),0)*Entry!$E$4+IF(ISNUMBER(VLOOKUP($V$1*A40,Data!$C$2:$X$81,2,FALSE))=TRUE,VLOOKUP($V$1*A40,Data!$C$2:$X$81,2,FALSE),0)*Entry!$E$5+IF(ISNUMBER(VLOOKUP($AC$1*A40,Data!$C$2:$X$81,2,FALSE))=TRUE,VLOOKUP($AC$1*A40,Data!$C$2:$X$81,2,FALSE),0)*Entry!$E$6+IF(ISNUMBER(VLOOKUP($AC$19*A40,Data!$C$2:$X$81,2,FALSE))=TRUE,VLOOKUP($AC$19*A40,Data!$C$2:$X$81,2,FALSE),0)*Entry!$E$7+IF(ISNUMBER(VLOOKUP($V$19*A40,Data!$C$2:$X$81,2,FALSE))=TRUE,VLOOKUP($V$19*A40,Data!$C$2:$X$81,2,FALSE),0)*Entry!$E$8+IF(ISNUMBER(VLOOKUP($O$19*A40,Data!$C$2:$X$81,2,FALSE))=TRUE,VLOOKUP($O$19*A40,Data!$C$2:$X$81,2,FALSE),0)*Entry!$E$9+IF(ISNUMBER(VLOOKUP($H$19*A40,Data!$C$2:$X$81,2,FALSE))=TRUE,VLOOKUP($H$19*A40,Data!$C$2:$X$81,2,FALSE),0)*Entry!$E$10+IF(ISNUMBER(VLOOKUP($A$19*A40,Data!$C$2:$X$81,2,FALSE))=TRUE,VLOOKUP($A$19*A40,Data!$C$2:$X$81,2,FALSE),0)*Entry!$E$11)/4</f>
        <v>8576753.25</v>
      </c>
      <c r="C40">
        <f>(IF(ISNUMBER(VLOOKUP($A$1*A40,Data!$C$2:$X$81,22,FALSE))=TRUE,VLOOKUP($A$1*A40,Data!$C$2:$X$81,22,FALSE),0)*Entry!$E$2+ IF(ISNUMBER(VLOOKUP($H$1*A40,Data!$C$2:$X$81,22,FALSE))=TRUE,VLOOKUP($H$1*A40,Data!$C$2:$X$81,22,FALSE),0)*Entry!$E$3+IF(ISNUMBER(VLOOKUP($O$1*A40,Data!$C$2:$X$81,22,FALSE))=TRUE,VLOOKUP($O$1*A40,Data!$C$2:$X$81,22,FALSE),0)*Entry!$E$4+IF(ISNUMBER(VLOOKUP($V$1*A40,Data!$C$2:$X$81,22,FALSE))=TRUE,VLOOKUP($V$1*A40,Data!$C$2:$X$81,22,FALSE),0)*Entry!$E$5+IF(ISNUMBER(VLOOKUP($AC$1*A40,Data!$C$2:$X$81,22,FALSE))=TRUE,VLOOKUP($AC$1*A40,Data!$C$2:$X$81,22,FALSE),0)*Entry!$E$6+IF(ISNUMBER(VLOOKUP($AC$19*A40,Data!$C$2:$X$81,22,FALSE))=TRUE,VLOOKUP($AC$19*A40,Data!$C$2:$X$81,22,FALSE),0)*Entry!$E$7+IF(ISNUMBER(VLOOKUP($V$19*A40,Data!$C$2:$X$81,22,FALSE))=TRUE,VLOOKUP($V$19*A40,Data!$C$2:$X$81,22,FALSE),0)*Entry!$E$8+IF(ISNUMBER(VLOOKUP($O$19*A40,Data!$C$2:$X$81,22,FALSE))=TRUE,VLOOKUP($O$19*A40,Data!$C$2:$X$81,22,FALSE),0)*Entry!$E$9+IF(ISNUMBER(VLOOKUP($H$19*A40,Data!$C$2:$X$81,22,FALSE))=TRUE,VLOOKUP($H$19*A40,Data!$C$2:$X$81,22,FALSE),0)*Entry!$E$10+IF(ISNUMBER(VLOOKUP($A$19*A40,Data!$C$2:$X$81,22,FALSE))=TRUE,VLOOKUP($A$19*A40,Data!$C$2:$X$81,22,FALSE),0)*Entry!$E$11)/4</f>
        <v>9871596.5</v>
      </c>
      <c r="D40" s="12">
        <f t="shared" si="20"/>
        <v>1.1509712605991085</v>
      </c>
      <c r="E40">
        <f>(IF(ISNUMBER(VLOOKUP($V$1*A40,Data!$C$2:$X$81,2,FALSE))=TRUE,VLOOKUP($V$1*A40,Data!$C$2:$X$81,2,FALSE),0)*Entry!$F$5+IF(ISNUMBER(VLOOKUP($AC$1*A40,Data!$C$2:$X$81,2,FALSE))=TRUE,VLOOKUP($AC$1*A40,Data!$C$2:$X$81,2,FALSE),0)*Entry!$F$6+IF(ISNUMBER(VLOOKUP($AC$19*A40,Data!$C$2:$X$81,2,FALSE))=TRUE,VLOOKUP($AC$19*A40,Data!$C$2:$X$81,2,FALSE),0)*Entry!$F$7+IF(ISNUMBER(VLOOKUP($V$19*A40,Data!$C$2:$X$81,2,FALSE))=TRUE,VLOOKUP($V$19*A40,Data!$C$2:$X$81,2,FALSE),0)*Entry!$F$8)/4</f>
        <v>9232388.75</v>
      </c>
      <c r="F40">
        <f>(IF(ISNUMBER(VLOOKUP($V$1*A40,Data!$C$2:$X$81,22,FALSE))=TRUE,VLOOKUP($V$1*A40,Data!$C$2:$X$81,22,FALSE),0)*Entry!$F$5+IF(ISNUMBER(VLOOKUP($AC$1*A40,Data!$C$2:$X$81,22,FALSE))=TRUE,VLOOKUP($AC$1*A40,Data!$C$2:$X$81,22,FALSE),0)*Entry!$F$6+IF(ISNUMBER(VLOOKUP($AC$19*A40,Data!$C$2:$X$81,22,FALSE))=TRUE,VLOOKUP($AC$19*A40,Data!$C$2:$X$81,22,FALSE),0)*Entry!$F$7+IF(ISNUMBER(VLOOKUP($V$19*A40,Data!$C$2:$X$81,22,FALSE))=TRUE,VLOOKUP($V$19*A40,Data!$C$2:$X$81,22,FALSE),0)*Entry!$F$8)/4</f>
        <v>10733412.5</v>
      </c>
      <c r="G40" s="12">
        <f t="shared" si="21"/>
        <v>1.1625823815098775</v>
      </c>
      <c r="H40" s="12" t="e">
        <f>Entry!$A$4</f>
        <v>#N/A</v>
      </c>
      <c r="J40">
        <v>2</v>
      </c>
      <c r="K40" s="12">
        <f>K41-50</f>
        <v>24400</v>
      </c>
      <c r="L40">
        <f>VLOOKUP(K40,Data!$C$1:$X$81,6,FALSE)</f>
        <v>0</v>
      </c>
      <c r="M40">
        <f>VLOOKUP(K40,Data!$C$1:$X$81,18,FALSE)</f>
        <v>0</v>
      </c>
      <c r="N40" s="12">
        <f>Entry!$A$8-K40</f>
        <v>168</v>
      </c>
      <c r="O40" s="12">
        <f t="shared" si="22"/>
        <v>-168</v>
      </c>
      <c r="P40" s="12">
        <f t="shared" si="23"/>
        <v>168</v>
      </c>
      <c r="Q40">
        <f t="shared" ref="Q40:Q47" si="38">(P39-P40)/P40</f>
        <v>0.29761904761904762</v>
      </c>
      <c r="R40">
        <f t="shared" ref="R40:R47" si="39">(O40-O39)/O39</f>
        <v>-0.22935779816513763</v>
      </c>
      <c r="S40" s="12">
        <f t="shared" ref="S40:S47" si="40">K40</f>
        <v>24400</v>
      </c>
      <c r="T40" s="12">
        <f>Entry!$A$8</f>
        <v>24568</v>
      </c>
      <c r="U40" s="6">
        <f t="shared" si="24"/>
        <v>6.8616508393650197E-3</v>
      </c>
      <c r="V40">
        <f>VLOOKUP(K40,Data!$C$1:$X$81,5,FALSE)/100</f>
        <v>0</v>
      </c>
      <c r="W40">
        <f ca="1">(Entry!$A$16+((V40)^2)/2)*Entry!$A$18</f>
        <v>5.7534246575342461E-4</v>
      </c>
      <c r="X40">
        <f ca="1">V40*SQRT(Entry!$A$18)</f>
        <v>0</v>
      </c>
      <c r="Y40" t="e">
        <f t="shared" ca="1" si="25"/>
        <v>#DIV/0!</v>
      </c>
      <c r="Z40" t="e">
        <f t="shared" ca="1" si="26"/>
        <v>#DIV/0!</v>
      </c>
      <c r="AA40" t="e">
        <f t="shared" ca="1" si="27"/>
        <v>#DIV/0!</v>
      </c>
      <c r="AB40" t="e">
        <f t="shared" ca="1" si="28"/>
        <v>#DIV/0!</v>
      </c>
      <c r="AC40">
        <f ca="1">EXP(-Entry!$A$16*Entry!$A$18)</f>
        <v>0.9994248230119861</v>
      </c>
      <c r="AD40" t="e">
        <f t="shared" ca="1" si="29"/>
        <v>#DIV/0!</v>
      </c>
      <c r="AE40">
        <f>VLOOKUP(K40,Data!$C$1:$X$81,19,FALSE)/100</f>
        <v>0</v>
      </c>
      <c r="AF40">
        <f ca="1">(Entry!$A$16+((AE40)^2)/2)*Entry!$A$18</f>
        <v>5.7534246575342461E-4</v>
      </c>
      <c r="AG40">
        <f ca="1">AE40*SQRT(Entry!$A$18)</f>
        <v>0</v>
      </c>
      <c r="AH40" t="e">
        <f t="shared" ca="1" si="30"/>
        <v>#DIV/0!</v>
      </c>
      <c r="AI40" t="e">
        <f t="shared" ca="1" si="31"/>
        <v>#DIV/0!</v>
      </c>
      <c r="AJ40" t="e">
        <f t="shared" ca="1" si="32"/>
        <v>#DIV/0!</v>
      </c>
      <c r="AK40" t="e">
        <f t="shared" ca="1" si="33"/>
        <v>#DIV/0!</v>
      </c>
      <c r="AL40" t="e">
        <f t="shared" ca="1" si="34"/>
        <v>#DIV/0!</v>
      </c>
      <c r="AM40" s="6" t="e">
        <f t="shared" ca="1" si="35"/>
        <v>#DIV/0!</v>
      </c>
      <c r="AN40" s="6" t="e">
        <f t="shared" ca="1" si="36"/>
        <v>#DIV/0!</v>
      </c>
      <c r="AO40" s="12">
        <f t="shared" si="37"/>
        <v>24400</v>
      </c>
    </row>
    <row r="41" spans="1:41" x14ac:dyDescent="0.3">
      <c r="A41">
        <v>3</v>
      </c>
      <c r="B41">
        <f>(IF(ISNUMBER(VLOOKUP($A$1*A41,Data!$C$2:$X$81,2,FALSE))=TRUE,VLOOKUP($A$1*A41,Data!$C$2:$X$81,2,FALSE),0)*Entry!$E$2+ IF(ISNUMBER(VLOOKUP($H$1*A41,Data!$C$2:$X$81,2,FALSE))=TRUE,VLOOKUP($H$1*A41,Data!$C$2:$X$81,2,FALSE),0)*Entry!$E$3+IF(ISNUMBER(VLOOKUP($O$1*A41,Data!$C$2:$X$81,2,FALSE))=TRUE,VLOOKUP($O$1*A41,Data!$C$2:$X$81,2,FALSE),0)*Entry!$E$4+IF(ISNUMBER(VLOOKUP($V$1*A41,Data!$C$2:$X$81,2,FALSE))=TRUE,VLOOKUP($V$1*A41,Data!$C$2:$X$81,2,FALSE),0)*Entry!$E$5+IF(ISNUMBER(VLOOKUP($AC$1*A41,Data!$C$2:$X$81,2,FALSE))=TRUE,VLOOKUP($AC$1*A41,Data!$C$2:$X$81,2,FALSE),0)*Entry!$E$6+IF(ISNUMBER(VLOOKUP($AC$19*A41,Data!$C$2:$X$81,2,FALSE))=TRUE,VLOOKUP($AC$19*A41,Data!$C$2:$X$81,2,FALSE),0)*Entry!$E$7+IF(ISNUMBER(VLOOKUP($V$19*A41,Data!$C$2:$X$81,2,FALSE))=TRUE,VLOOKUP($V$19*A41,Data!$C$2:$X$81,2,FALSE),0)*Entry!$E$8+IF(ISNUMBER(VLOOKUP($O$19*A41,Data!$C$2:$X$81,2,FALSE))=TRUE,VLOOKUP($O$19*A41,Data!$C$2:$X$81,2,FALSE),0)*Entry!$E$9+IF(ISNUMBER(VLOOKUP($H$19*A41,Data!$C$2:$X$81,2,FALSE))=TRUE,VLOOKUP($H$19*A41,Data!$C$2:$X$81,2,FALSE),0)*Entry!$E$10+IF(ISNUMBER(VLOOKUP($A$19*A41,Data!$C$2:$X$81,2,FALSE))=TRUE,VLOOKUP($A$19*A41,Data!$C$2:$X$81,2,FALSE),0)*Entry!$E$11)/4</f>
        <v>9614218</v>
      </c>
      <c r="C41">
        <f>(IF(ISNUMBER(VLOOKUP($A$1*A41,Data!$C$2:$X$81,22,FALSE))=TRUE,VLOOKUP($A$1*A41,Data!$C$2:$X$81,22,FALSE),0)*Entry!$E$2+ IF(ISNUMBER(VLOOKUP($H$1*A41,Data!$C$2:$X$81,22,FALSE))=TRUE,VLOOKUP($H$1*A41,Data!$C$2:$X$81,22,FALSE),0)*Entry!$E$3+IF(ISNUMBER(VLOOKUP($O$1*A41,Data!$C$2:$X$81,22,FALSE))=TRUE,VLOOKUP($O$1*A41,Data!$C$2:$X$81,22,FALSE),0)*Entry!$E$4+IF(ISNUMBER(VLOOKUP($V$1*A41,Data!$C$2:$X$81,22,FALSE))=TRUE,VLOOKUP($V$1*A41,Data!$C$2:$X$81,22,FALSE),0)*Entry!$E$5+IF(ISNUMBER(VLOOKUP($AC$1*A41,Data!$C$2:$X$81,22,FALSE))=TRUE,VLOOKUP($AC$1*A41,Data!$C$2:$X$81,22,FALSE),0)*Entry!$E$6+IF(ISNUMBER(VLOOKUP($AC$19*A41,Data!$C$2:$X$81,22,FALSE))=TRUE,VLOOKUP($AC$19*A41,Data!$C$2:$X$81,22,FALSE),0)*Entry!$E$7+IF(ISNUMBER(VLOOKUP($V$19*A41,Data!$C$2:$X$81,22,FALSE))=TRUE,VLOOKUP($V$19*A41,Data!$C$2:$X$81,22,FALSE),0)*Entry!$E$8+IF(ISNUMBER(VLOOKUP($O$19*A41,Data!$C$2:$X$81,22,FALSE))=TRUE,VLOOKUP($O$19*A41,Data!$C$2:$X$81,22,FALSE),0)*Entry!$E$9+IF(ISNUMBER(VLOOKUP($H$19*A41,Data!$C$2:$X$81,22,FALSE))=TRUE,VLOOKUP($H$19*A41,Data!$C$2:$X$81,22,FALSE),0)*Entry!$E$10+IF(ISNUMBER(VLOOKUP($A$19*A41,Data!$C$2:$X$81,22,FALSE))=TRUE,VLOOKUP($A$19*A41,Data!$C$2:$X$81,22,FALSE),0)*Entry!$E$11)/4</f>
        <v>10316523.5</v>
      </c>
      <c r="D41" s="12">
        <f t="shared" si="20"/>
        <v>1.0730486348447685</v>
      </c>
      <c r="E41">
        <f>(IF(ISNUMBER(VLOOKUP($V$1*A41,Data!$C$2:$X$81,2,FALSE))=TRUE,VLOOKUP($V$1*A41,Data!$C$2:$X$81,2,FALSE),0)*Entry!$F$5+IF(ISNUMBER(VLOOKUP($AC$1*A41,Data!$C$2:$X$81,2,FALSE))=TRUE,VLOOKUP($AC$1*A41,Data!$C$2:$X$81,2,FALSE),0)*Entry!$F$6+IF(ISNUMBER(VLOOKUP($AC$19*A41,Data!$C$2:$X$81,2,FALSE))=TRUE,VLOOKUP($AC$19*A41,Data!$C$2:$X$81,2,FALSE),0)*Entry!$F$7+IF(ISNUMBER(VLOOKUP($V$19*A41,Data!$C$2:$X$81,2,FALSE))=TRUE,VLOOKUP($V$19*A41,Data!$C$2:$X$81,2,FALSE),0)*Entry!$F$8)/4</f>
        <v>10352108.75</v>
      </c>
      <c r="F41">
        <f>(IF(ISNUMBER(VLOOKUP($V$1*A41,Data!$C$2:$X$81,22,FALSE))=TRUE,VLOOKUP($V$1*A41,Data!$C$2:$X$81,22,FALSE),0)*Entry!$F$5+IF(ISNUMBER(VLOOKUP($AC$1*A41,Data!$C$2:$X$81,22,FALSE))=TRUE,VLOOKUP($AC$1*A41,Data!$C$2:$X$81,22,FALSE),0)*Entry!$F$6+IF(ISNUMBER(VLOOKUP($AC$19*A41,Data!$C$2:$X$81,22,FALSE))=TRUE,VLOOKUP($AC$19*A41,Data!$C$2:$X$81,22,FALSE),0)*Entry!$F$7+IF(ISNUMBER(VLOOKUP($V$19*A41,Data!$C$2:$X$81,22,FALSE))=TRUE,VLOOKUP($V$19*A41,Data!$C$2:$X$81,22,FALSE),0)*Entry!$F$8)/4</f>
        <v>11245583.75</v>
      </c>
      <c r="G41" s="12">
        <f t="shared" si="21"/>
        <v>1.0863085021204013</v>
      </c>
      <c r="H41" s="12" t="e">
        <f>Entry!$A$4</f>
        <v>#N/A</v>
      </c>
      <c r="J41">
        <v>3</v>
      </c>
      <c r="K41" s="12">
        <f>K42-50</f>
        <v>24450</v>
      </c>
      <c r="L41">
        <f>VLOOKUP(K41,Data!$C$1:$X$81,6,FALSE)</f>
        <v>0</v>
      </c>
      <c r="M41">
        <f>VLOOKUP(K41,Data!$C$1:$X$81,18,FALSE)</f>
        <v>0</v>
      </c>
      <c r="N41" s="12">
        <f>Entry!$A$8-K41</f>
        <v>118</v>
      </c>
      <c r="O41" s="12">
        <f t="shared" si="22"/>
        <v>-118</v>
      </c>
      <c r="P41" s="12">
        <f t="shared" si="23"/>
        <v>118</v>
      </c>
      <c r="Q41">
        <f t="shared" si="38"/>
        <v>0.42372881355932202</v>
      </c>
      <c r="R41">
        <f t="shared" si="39"/>
        <v>-0.29761904761904762</v>
      </c>
      <c r="S41" s="12">
        <f t="shared" si="40"/>
        <v>24450</v>
      </c>
      <c r="T41" s="12">
        <f>Entry!$A$8</f>
        <v>24568</v>
      </c>
      <c r="U41" s="6">
        <f t="shared" si="24"/>
        <v>4.8145672176401547E-3</v>
      </c>
      <c r="V41">
        <f>VLOOKUP(K41,Data!$C$1:$X$81,5,FALSE)/100</f>
        <v>0</v>
      </c>
      <c r="W41">
        <f ca="1">(Entry!$A$16+((V41)^2)/2)*Entry!$A$18</f>
        <v>5.7534246575342461E-4</v>
      </c>
      <c r="X41">
        <f ca="1">V41*SQRT(Entry!$A$18)</f>
        <v>0</v>
      </c>
      <c r="Y41" t="e">
        <f t="shared" ca="1" si="25"/>
        <v>#DIV/0!</v>
      </c>
      <c r="Z41" t="e">
        <f t="shared" ca="1" si="26"/>
        <v>#DIV/0!</v>
      </c>
      <c r="AA41" t="e">
        <f t="shared" ca="1" si="27"/>
        <v>#DIV/0!</v>
      </c>
      <c r="AB41" t="e">
        <f t="shared" ca="1" si="28"/>
        <v>#DIV/0!</v>
      </c>
      <c r="AC41">
        <f ca="1">EXP(-Entry!$A$16*Entry!$A$18)</f>
        <v>0.9994248230119861</v>
      </c>
      <c r="AD41" t="e">
        <f t="shared" ca="1" si="29"/>
        <v>#DIV/0!</v>
      </c>
      <c r="AE41">
        <f>VLOOKUP(K41,Data!$C$1:$X$81,19,FALSE)/100</f>
        <v>0</v>
      </c>
      <c r="AF41">
        <f ca="1">(Entry!$A$16+((AE41)^2)/2)*Entry!$A$18</f>
        <v>5.7534246575342461E-4</v>
      </c>
      <c r="AG41">
        <f ca="1">AE41*SQRT(Entry!$A$18)</f>
        <v>0</v>
      </c>
      <c r="AH41" t="e">
        <f t="shared" ca="1" si="30"/>
        <v>#DIV/0!</v>
      </c>
      <c r="AI41" t="e">
        <f t="shared" ca="1" si="31"/>
        <v>#DIV/0!</v>
      </c>
      <c r="AJ41" t="e">
        <f t="shared" ca="1" si="32"/>
        <v>#DIV/0!</v>
      </c>
      <c r="AK41" t="e">
        <f t="shared" ca="1" si="33"/>
        <v>#DIV/0!</v>
      </c>
      <c r="AL41" t="e">
        <f t="shared" ca="1" si="34"/>
        <v>#DIV/0!</v>
      </c>
      <c r="AM41" s="6" t="e">
        <f t="shared" ca="1" si="35"/>
        <v>#DIV/0!</v>
      </c>
      <c r="AN41" s="6" t="e">
        <f t="shared" ca="1" si="36"/>
        <v>#DIV/0!</v>
      </c>
      <c r="AO41" s="12">
        <f t="shared" si="37"/>
        <v>24450</v>
      </c>
    </row>
    <row r="42" spans="1:41" x14ac:dyDescent="0.3">
      <c r="A42">
        <v>4</v>
      </c>
      <c r="B42">
        <f>(IF(ISNUMBER(VLOOKUP($A$1*A42,Data!$C$2:$X$81,2,FALSE))=TRUE,VLOOKUP($A$1*A42,Data!$C$2:$X$81,2,FALSE),0)*Entry!$E$2+ IF(ISNUMBER(VLOOKUP($H$1*A42,Data!$C$2:$X$81,2,FALSE))=TRUE,VLOOKUP($H$1*A42,Data!$C$2:$X$81,2,FALSE),0)*Entry!$E$3+IF(ISNUMBER(VLOOKUP($O$1*A42,Data!$C$2:$X$81,2,FALSE))=TRUE,VLOOKUP($O$1*A42,Data!$C$2:$X$81,2,FALSE),0)*Entry!$E$4+IF(ISNUMBER(VLOOKUP($V$1*A42,Data!$C$2:$X$81,2,FALSE))=TRUE,VLOOKUP($V$1*A42,Data!$C$2:$X$81,2,FALSE),0)*Entry!$E$5+IF(ISNUMBER(VLOOKUP($AC$1*A42,Data!$C$2:$X$81,2,FALSE))=TRUE,VLOOKUP($AC$1*A42,Data!$C$2:$X$81,2,FALSE),0)*Entry!$E$6+IF(ISNUMBER(VLOOKUP($AC$19*A42,Data!$C$2:$X$81,2,FALSE))=TRUE,VLOOKUP($AC$19*A42,Data!$C$2:$X$81,2,FALSE),0)*Entry!$E$7+IF(ISNUMBER(VLOOKUP($V$19*A42,Data!$C$2:$X$81,2,FALSE))=TRUE,VLOOKUP($V$19*A42,Data!$C$2:$X$81,2,FALSE),0)*Entry!$E$8+IF(ISNUMBER(VLOOKUP($O$19*A42,Data!$C$2:$X$81,2,FALSE))=TRUE,VLOOKUP($O$19*A42,Data!$C$2:$X$81,2,FALSE),0)*Entry!$E$9+IF(ISNUMBER(VLOOKUP($H$19*A42,Data!$C$2:$X$81,2,FALSE))=TRUE,VLOOKUP($H$19*A42,Data!$C$2:$X$81,2,FALSE),0)*Entry!$E$10+IF(ISNUMBER(VLOOKUP($A$19*A42,Data!$C$2:$X$81,2,FALSE))=TRUE,VLOOKUP($A$19*A42,Data!$C$2:$X$81,2,FALSE),0)*Entry!$E$11)/4</f>
        <v>9562866.25</v>
      </c>
      <c r="C42">
        <f>(IF(ISNUMBER(VLOOKUP($A$1*A42,Data!$C$2:$X$81,22,FALSE))=TRUE,VLOOKUP($A$1*A42,Data!$C$2:$X$81,22,FALSE),0)*Entry!$E$2+ IF(ISNUMBER(VLOOKUP($H$1*A42,Data!$C$2:$X$81,22,FALSE))=TRUE,VLOOKUP($H$1*A42,Data!$C$2:$X$81,22,FALSE),0)*Entry!$E$3+IF(ISNUMBER(VLOOKUP($O$1*A42,Data!$C$2:$X$81,22,FALSE))=TRUE,VLOOKUP($O$1*A42,Data!$C$2:$X$81,22,FALSE),0)*Entry!$E$4+IF(ISNUMBER(VLOOKUP($V$1*A42,Data!$C$2:$X$81,22,FALSE))=TRUE,VLOOKUP($V$1*A42,Data!$C$2:$X$81,22,FALSE),0)*Entry!$E$5+IF(ISNUMBER(VLOOKUP($AC$1*A42,Data!$C$2:$X$81,22,FALSE))=TRUE,VLOOKUP($AC$1*A42,Data!$C$2:$X$81,22,FALSE),0)*Entry!$E$6+IF(ISNUMBER(VLOOKUP($AC$19*A42,Data!$C$2:$X$81,22,FALSE))=TRUE,VLOOKUP($AC$19*A42,Data!$C$2:$X$81,22,FALSE),0)*Entry!$E$7+IF(ISNUMBER(VLOOKUP($V$19*A42,Data!$C$2:$X$81,22,FALSE))=TRUE,VLOOKUP($V$19*A42,Data!$C$2:$X$81,22,FALSE),0)*Entry!$E$8+IF(ISNUMBER(VLOOKUP($O$19*A42,Data!$C$2:$X$81,22,FALSE))=TRUE,VLOOKUP($O$19*A42,Data!$C$2:$X$81,22,FALSE),0)*Entry!$E$9+IF(ISNUMBER(VLOOKUP($H$19*A42,Data!$C$2:$X$81,22,FALSE))=TRUE,VLOOKUP($H$19*A42,Data!$C$2:$X$81,22,FALSE),0)*Entry!$E$10+IF(ISNUMBER(VLOOKUP($A$19*A42,Data!$C$2:$X$81,22,FALSE))=TRUE,VLOOKUP($A$19*A42,Data!$C$2:$X$81,22,FALSE),0)*Entry!$E$11)/4</f>
        <v>10314753.25</v>
      </c>
      <c r="D42" s="12">
        <f t="shared" si="20"/>
        <v>1.0786256944668655</v>
      </c>
      <c r="E42">
        <f>(IF(ISNUMBER(VLOOKUP($V$1*A42,Data!$C$2:$X$81,2,FALSE))=TRUE,VLOOKUP($V$1*A42,Data!$C$2:$X$81,2,FALSE),0)*Entry!$F$5+IF(ISNUMBER(VLOOKUP($AC$1*A42,Data!$C$2:$X$81,2,FALSE))=TRUE,VLOOKUP($AC$1*A42,Data!$C$2:$X$81,2,FALSE),0)*Entry!$F$6+IF(ISNUMBER(VLOOKUP($AC$19*A42,Data!$C$2:$X$81,2,FALSE))=TRUE,VLOOKUP($AC$19*A42,Data!$C$2:$X$81,2,FALSE),0)*Entry!$F$7+IF(ISNUMBER(VLOOKUP($V$19*A42,Data!$C$2:$X$81,2,FALSE))=TRUE,VLOOKUP($V$19*A42,Data!$C$2:$X$81,2,FALSE),0)*Entry!$F$8)/4</f>
        <v>10352108.75</v>
      </c>
      <c r="F42">
        <f>(IF(ISNUMBER(VLOOKUP($V$1*A42,Data!$C$2:$X$81,22,FALSE))=TRUE,VLOOKUP($V$1*A42,Data!$C$2:$X$81,22,FALSE),0)*Entry!$F$5+IF(ISNUMBER(VLOOKUP($AC$1*A42,Data!$C$2:$X$81,22,FALSE))=TRUE,VLOOKUP($AC$1*A42,Data!$C$2:$X$81,22,FALSE),0)*Entry!$F$6+IF(ISNUMBER(VLOOKUP($AC$19*A42,Data!$C$2:$X$81,22,FALSE))=TRUE,VLOOKUP($AC$19*A42,Data!$C$2:$X$81,22,FALSE),0)*Entry!$F$7+IF(ISNUMBER(VLOOKUP($V$19*A42,Data!$C$2:$X$81,22,FALSE))=TRUE,VLOOKUP($V$19*A42,Data!$C$2:$X$81,22,FALSE),0)*Entry!$F$8)/4</f>
        <v>11245583.75</v>
      </c>
      <c r="G42" s="12">
        <f t="shared" si="21"/>
        <v>1.0863085021204013</v>
      </c>
      <c r="H42" s="12" t="e">
        <f>Entry!$A$4</f>
        <v>#N/A</v>
      </c>
      <c r="J42">
        <v>4</v>
      </c>
      <c r="K42" s="12">
        <f>K43-50</f>
        <v>24500</v>
      </c>
      <c r="L42">
        <f>VLOOKUP(K42,Data!$C$1:$X$81,6,FALSE)</f>
        <v>0</v>
      </c>
      <c r="M42">
        <f>VLOOKUP(K42,Data!$C$1:$X$81,18,FALSE)</f>
        <v>0</v>
      </c>
      <c r="N42" s="12">
        <f>Entry!$A$8-K42</f>
        <v>68</v>
      </c>
      <c r="O42" s="12">
        <f t="shared" si="22"/>
        <v>-68</v>
      </c>
      <c r="P42" s="12">
        <f t="shared" si="23"/>
        <v>68</v>
      </c>
      <c r="Q42">
        <f t="shared" si="38"/>
        <v>0.73529411764705888</v>
      </c>
      <c r="R42">
        <f t="shared" si="39"/>
        <v>-0.42372881355932202</v>
      </c>
      <c r="S42" s="12">
        <f t="shared" si="40"/>
        <v>24500</v>
      </c>
      <c r="T42" s="12">
        <f>Entry!$A$8</f>
        <v>24568</v>
      </c>
      <c r="U42" s="6">
        <f t="shared" si="24"/>
        <v>2.7716655878399321E-3</v>
      </c>
      <c r="V42">
        <f>VLOOKUP(K42,Data!$C$1:$X$81,5,FALSE)/100</f>
        <v>0</v>
      </c>
      <c r="W42">
        <f ca="1">(Entry!$A$16+((V42)^2)/2)*Entry!$A$18</f>
        <v>5.7534246575342461E-4</v>
      </c>
      <c r="X42">
        <f ca="1">V42*SQRT(Entry!$A$18)</f>
        <v>0</v>
      </c>
      <c r="Y42" t="e">
        <f t="shared" ca="1" si="25"/>
        <v>#DIV/0!</v>
      </c>
      <c r="Z42" t="e">
        <f t="shared" ca="1" si="26"/>
        <v>#DIV/0!</v>
      </c>
      <c r="AA42" t="e">
        <f t="shared" ca="1" si="27"/>
        <v>#DIV/0!</v>
      </c>
      <c r="AB42" t="e">
        <f t="shared" ca="1" si="28"/>
        <v>#DIV/0!</v>
      </c>
      <c r="AC42">
        <f ca="1">EXP(-Entry!$A$16*Entry!$A$18)</f>
        <v>0.9994248230119861</v>
      </c>
      <c r="AD42" t="e">
        <f t="shared" ca="1" si="29"/>
        <v>#DIV/0!</v>
      </c>
      <c r="AE42">
        <f>VLOOKUP(K42,Data!$C$1:$X$81,19,FALSE)/100</f>
        <v>0</v>
      </c>
      <c r="AF42">
        <f ca="1">(Entry!$A$16+((AE42)^2)/2)*Entry!$A$18</f>
        <v>5.7534246575342461E-4</v>
      </c>
      <c r="AG42">
        <f ca="1">AE42*SQRT(Entry!$A$18)</f>
        <v>0</v>
      </c>
      <c r="AH42" t="e">
        <f t="shared" ca="1" si="30"/>
        <v>#DIV/0!</v>
      </c>
      <c r="AI42" t="e">
        <f t="shared" ca="1" si="31"/>
        <v>#DIV/0!</v>
      </c>
      <c r="AJ42" t="e">
        <f t="shared" ca="1" si="32"/>
        <v>#DIV/0!</v>
      </c>
      <c r="AK42" t="e">
        <f t="shared" ca="1" si="33"/>
        <v>#DIV/0!</v>
      </c>
      <c r="AL42" t="e">
        <f t="shared" ca="1" si="34"/>
        <v>#DIV/0!</v>
      </c>
      <c r="AM42" s="6" t="e">
        <f t="shared" ca="1" si="35"/>
        <v>#DIV/0!</v>
      </c>
      <c r="AN42" s="6" t="e">
        <f t="shared" ca="1" si="36"/>
        <v>#DIV/0!</v>
      </c>
      <c r="AO42" s="12">
        <f t="shared" si="37"/>
        <v>24500</v>
      </c>
    </row>
    <row r="43" spans="1:41" x14ac:dyDescent="0.3">
      <c r="A43">
        <v>5</v>
      </c>
      <c r="B43">
        <f>(IF(ISNUMBER(VLOOKUP($A$1*A43,Data!$C$2:$X$81,2,FALSE))=TRUE,VLOOKUP($A$1*A43,Data!$C$2:$X$81,2,FALSE),0)*Entry!$E$2+ IF(ISNUMBER(VLOOKUP($H$1*A43,Data!$C$2:$X$81,2,FALSE))=TRUE,VLOOKUP($H$1*A43,Data!$C$2:$X$81,2,FALSE),0)*Entry!$E$3+IF(ISNUMBER(VLOOKUP($O$1*A43,Data!$C$2:$X$81,2,FALSE))=TRUE,VLOOKUP($O$1*A43,Data!$C$2:$X$81,2,FALSE),0)*Entry!$E$4+IF(ISNUMBER(VLOOKUP($V$1*A43,Data!$C$2:$X$81,2,FALSE))=TRUE,VLOOKUP($V$1*A43,Data!$C$2:$X$81,2,FALSE),0)*Entry!$E$5+IF(ISNUMBER(VLOOKUP($AC$1*A43,Data!$C$2:$X$81,2,FALSE))=TRUE,VLOOKUP($AC$1*A43,Data!$C$2:$X$81,2,FALSE),0)*Entry!$E$6+IF(ISNUMBER(VLOOKUP($AC$19*A43,Data!$C$2:$X$81,2,FALSE))=TRUE,VLOOKUP($AC$19*A43,Data!$C$2:$X$81,2,FALSE),0)*Entry!$E$7+IF(ISNUMBER(VLOOKUP($V$19*A43,Data!$C$2:$X$81,2,FALSE))=TRUE,VLOOKUP($V$19*A43,Data!$C$2:$X$81,2,FALSE),0)*Entry!$E$8+IF(ISNUMBER(VLOOKUP($O$19*A43,Data!$C$2:$X$81,2,FALSE))=TRUE,VLOOKUP($O$19*A43,Data!$C$2:$X$81,2,FALSE),0)*Entry!$E$9+IF(ISNUMBER(VLOOKUP($H$19*A43,Data!$C$2:$X$81,2,FALSE))=TRUE,VLOOKUP($H$19*A43,Data!$C$2:$X$81,2,FALSE),0)*Entry!$E$10+IF(ISNUMBER(VLOOKUP($A$19*A43,Data!$C$2:$X$81,2,FALSE))=TRUE,VLOOKUP($A$19*A43,Data!$C$2:$X$81,2,FALSE),0)*Entry!$E$11)/4</f>
        <v>11013306.75</v>
      </c>
      <c r="C43">
        <f>(IF(ISNUMBER(VLOOKUP($A$1*A43,Data!$C$2:$X$81,22,FALSE))=TRUE,VLOOKUP($A$1*A43,Data!$C$2:$X$81,22,FALSE),0)*Entry!$E$2+ IF(ISNUMBER(VLOOKUP($H$1*A43,Data!$C$2:$X$81,22,FALSE))=TRUE,VLOOKUP($H$1*A43,Data!$C$2:$X$81,22,FALSE),0)*Entry!$E$3+IF(ISNUMBER(VLOOKUP($O$1*A43,Data!$C$2:$X$81,22,FALSE))=TRUE,VLOOKUP($O$1*A43,Data!$C$2:$X$81,22,FALSE),0)*Entry!$E$4+IF(ISNUMBER(VLOOKUP($V$1*A43,Data!$C$2:$X$81,22,FALSE))=TRUE,VLOOKUP($V$1*A43,Data!$C$2:$X$81,22,FALSE),0)*Entry!$E$5+IF(ISNUMBER(VLOOKUP($AC$1*A43,Data!$C$2:$X$81,22,FALSE))=TRUE,VLOOKUP($AC$1*A43,Data!$C$2:$X$81,22,FALSE),0)*Entry!$E$6+IF(ISNUMBER(VLOOKUP($AC$19*A43,Data!$C$2:$X$81,22,FALSE))=TRUE,VLOOKUP($AC$19*A43,Data!$C$2:$X$81,22,FALSE),0)*Entry!$E$7+IF(ISNUMBER(VLOOKUP($V$19*A43,Data!$C$2:$X$81,22,FALSE))=TRUE,VLOOKUP($V$19*A43,Data!$C$2:$X$81,22,FALSE),0)*Entry!$E$8+IF(ISNUMBER(VLOOKUP($O$19*A43,Data!$C$2:$X$81,22,FALSE))=TRUE,VLOOKUP($O$19*A43,Data!$C$2:$X$81,22,FALSE),0)*Entry!$E$9+IF(ISNUMBER(VLOOKUP($H$19*A43,Data!$C$2:$X$81,22,FALSE))=TRUE,VLOOKUP($H$19*A43,Data!$C$2:$X$81,22,FALSE),0)*Entry!$E$10+IF(ISNUMBER(VLOOKUP($A$19*A43,Data!$C$2:$X$81,22,FALSE))=TRUE,VLOOKUP($A$19*A43,Data!$C$2:$X$81,22,FALSE),0)*Entry!$E$11)/4</f>
        <v>9330967.25</v>
      </c>
      <c r="D43" s="12">
        <f t="shared" si="20"/>
        <v>0.84724483407310891</v>
      </c>
      <c r="E43">
        <f>(IF(ISNUMBER(VLOOKUP($V$1*A43,Data!$C$2:$X$81,2,FALSE))=TRUE,VLOOKUP($V$1*A43,Data!$C$2:$X$81,2,FALSE),0)*Entry!$F$5+IF(ISNUMBER(VLOOKUP($AC$1*A43,Data!$C$2:$X$81,2,FALSE))=TRUE,VLOOKUP($AC$1*A43,Data!$C$2:$X$81,2,FALSE),0)*Entry!$F$6+IF(ISNUMBER(VLOOKUP($AC$19*A43,Data!$C$2:$X$81,2,FALSE))=TRUE,VLOOKUP($AC$19*A43,Data!$C$2:$X$81,2,FALSE),0)*Entry!$F$7+IF(ISNUMBER(VLOOKUP($V$19*A43,Data!$C$2:$X$81,2,FALSE))=TRUE,VLOOKUP($V$19*A43,Data!$C$2:$X$81,2,FALSE),0)*Entry!$F$8)/4</f>
        <v>11982071.25</v>
      </c>
      <c r="F43">
        <f>(IF(ISNUMBER(VLOOKUP($V$1*A43,Data!$C$2:$X$81,22,FALSE))=TRUE,VLOOKUP($V$1*A43,Data!$C$2:$X$81,22,FALSE),0)*Entry!$F$5+IF(ISNUMBER(VLOOKUP($AC$1*A43,Data!$C$2:$X$81,22,FALSE))=TRUE,VLOOKUP($AC$1*A43,Data!$C$2:$X$81,22,FALSE),0)*Entry!$F$6+IF(ISNUMBER(VLOOKUP($AC$19*A43,Data!$C$2:$X$81,22,FALSE))=TRUE,VLOOKUP($AC$19*A43,Data!$C$2:$X$81,22,FALSE),0)*Entry!$F$7+IF(ISNUMBER(VLOOKUP($V$19*A43,Data!$C$2:$X$81,22,FALSE))=TRUE,VLOOKUP($V$19*A43,Data!$C$2:$X$81,22,FALSE),0)*Entry!$F$8)/4</f>
        <v>10198023.75</v>
      </c>
      <c r="G43" s="12">
        <f t="shared" si="21"/>
        <v>0.8511069194318136</v>
      </c>
      <c r="H43" s="12" t="e">
        <f>Entry!$A$4</f>
        <v>#N/A</v>
      </c>
      <c r="J43">
        <v>5</v>
      </c>
      <c r="K43" s="12">
        <f>Entry!A2</f>
        <v>24550</v>
      </c>
      <c r="L43">
        <f>VLOOKUP(K43,Data!$C$1:$X$81,6,FALSE)</f>
        <v>0</v>
      </c>
      <c r="M43">
        <f>VLOOKUP(K43,Data!$C$1:$X$81,18,FALSE)</f>
        <v>0</v>
      </c>
      <c r="N43" s="12">
        <f>Entry!$A$8-K43</f>
        <v>18</v>
      </c>
      <c r="O43" s="12">
        <f t="shared" si="22"/>
        <v>-18</v>
      </c>
      <c r="P43" s="12">
        <f t="shared" si="23"/>
        <v>18</v>
      </c>
      <c r="Q43">
        <f t="shared" si="38"/>
        <v>2.7777777777777777</v>
      </c>
      <c r="R43">
        <f t="shared" si="39"/>
        <v>-0.73529411764705888</v>
      </c>
      <c r="S43" s="12">
        <f t="shared" si="40"/>
        <v>24550</v>
      </c>
      <c r="T43" s="12">
        <f>Entry!$A$8</f>
        <v>24568</v>
      </c>
      <c r="U43" s="6">
        <f t="shared" si="24"/>
        <v>7.3292889799160381E-4</v>
      </c>
      <c r="V43">
        <f>VLOOKUP(K43,Data!$C$1:$X$81,5,FALSE)/100</f>
        <v>0</v>
      </c>
      <c r="W43">
        <f ca="1">(Entry!$A$16+((V43)^2)/2)*Entry!$A$18</f>
        <v>5.7534246575342461E-4</v>
      </c>
      <c r="X43">
        <f ca="1">V43*SQRT(Entry!$A$18)</f>
        <v>0</v>
      </c>
      <c r="Y43" t="e">
        <f t="shared" ca="1" si="25"/>
        <v>#DIV/0!</v>
      </c>
      <c r="Z43" t="e">
        <f t="shared" ca="1" si="26"/>
        <v>#DIV/0!</v>
      </c>
      <c r="AA43" t="e">
        <f t="shared" ca="1" si="27"/>
        <v>#DIV/0!</v>
      </c>
      <c r="AB43" t="e">
        <f t="shared" ca="1" si="28"/>
        <v>#DIV/0!</v>
      </c>
      <c r="AC43">
        <f ca="1">EXP(-Entry!$A$16*Entry!$A$18)</f>
        <v>0.9994248230119861</v>
      </c>
      <c r="AD43" t="e">
        <f t="shared" ca="1" si="29"/>
        <v>#DIV/0!</v>
      </c>
      <c r="AE43">
        <f>VLOOKUP(K43,Data!$C$1:$X$81,19,FALSE)/100</f>
        <v>0</v>
      </c>
      <c r="AF43">
        <f ca="1">(Entry!$A$16+((AE43)^2)/2)*Entry!$A$18</f>
        <v>5.7534246575342461E-4</v>
      </c>
      <c r="AG43">
        <f ca="1">AE43*SQRT(Entry!$A$18)</f>
        <v>0</v>
      </c>
      <c r="AH43" t="e">
        <f t="shared" ca="1" si="30"/>
        <v>#DIV/0!</v>
      </c>
      <c r="AI43" t="e">
        <f t="shared" ca="1" si="31"/>
        <v>#DIV/0!</v>
      </c>
      <c r="AJ43" t="e">
        <f t="shared" ca="1" si="32"/>
        <v>#DIV/0!</v>
      </c>
      <c r="AK43" t="e">
        <f t="shared" ca="1" si="33"/>
        <v>#DIV/0!</v>
      </c>
      <c r="AL43" t="e">
        <f t="shared" ca="1" si="34"/>
        <v>#DIV/0!</v>
      </c>
      <c r="AM43" s="6" t="e">
        <f t="shared" ca="1" si="35"/>
        <v>#DIV/0!</v>
      </c>
      <c r="AN43" s="6" t="e">
        <f t="shared" ca="1" si="36"/>
        <v>#DIV/0!</v>
      </c>
      <c r="AO43" s="12">
        <f t="shared" si="37"/>
        <v>24550</v>
      </c>
    </row>
    <row r="44" spans="1:41" x14ac:dyDescent="0.3">
      <c r="A44">
        <v>6</v>
      </c>
      <c r="B44">
        <f>(IF(ISNUMBER(VLOOKUP($A$1*A44,Data!$C$2:$X$81,2,FALSE))=TRUE,VLOOKUP($A$1*A44,Data!$C$2:$X$81,2,FALSE),0)*Entry!$E$2+ IF(ISNUMBER(VLOOKUP($H$1*A44,Data!$C$2:$X$81,2,FALSE))=TRUE,VLOOKUP($H$1*A44,Data!$C$2:$X$81,2,FALSE),0)*Entry!$E$3+IF(ISNUMBER(VLOOKUP($O$1*A44,Data!$C$2:$X$81,2,FALSE))=TRUE,VLOOKUP($O$1*A44,Data!$C$2:$X$81,2,FALSE),0)*Entry!$E$4+IF(ISNUMBER(VLOOKUP($V$1*A44,Data!$C$2:$X$81,2,FALSE))=TRUE,VLOOKUP($V$1*A44,Data!$C$2:$X$81,2,FALSE),0)*Entry!$E$5+IF(ISNUMBER(VLOOKUP($AC$1*A44,Data!$C$2:$X$81,2,FALSE))=TRUE,VLOOKUP($AC$1*A44,Data!$C$2:$X$81,2,FALSE),0)*Entry!$E$6+IF(ISNUMBER(VLOOKUP($AC$19*A44,Data!$C$2:$X$81,2,FALSE))=TRUE,VLOOKUP($AC$19*A44,Data!$C$2:$X$81,2,FALSE),0)*Entry!$E$7+IF(ISNUMBER(VLOOKUP($V$19*A44,Data!$C$2:$X$81,2,FALSE))=TRUE,VLOOKUP($V$19*A44,Data!$C$2:$X$81,2,FALSE),0)*Entry!$E$8+IF(ISNUMBER(VLOOKUP($O$19*A44,Data!$C$2:$X$81,2,FALSE))=TRUE,VLOOKUP($O$19*A44,Data!$C$2:$X$81,2,FALSE),0)*Entry!$E$9+IF(ISNUMBER(VLOOKUP($H$19*A44,Data!$C$2:$X$81,2,FALSE))=TRUE,VLOOKUP($H$19*A44,Data!$C$2:$X$81,2,FALSE),0)*Entry!$E$10+IF(ISNUMBER(VLOOKUP($A$19*A44,Data!$C$2:$X$81,2,FALSE))=TRUE,VLOOKUP($A$19*A44,Data!$C$2:$X$81,2,FALSE),0)*Entry!$E$11)/4</f>
        <v>10935200.75</v>
      </c>
      <c r="C44">
        <f>(IF(ISNUMBER(VLOOKUP($A$1*A44,Data!$C$2:$X$81,22,FALSE))=TRUE,VLOOKUP($A$1*A44,Data!$C$2:$X$81,22,FALSE),0)*Entry!$E$2+ IF(ISNUMBER(VLOOKUP($H$1*A44,Data!$C$2:$X$81,22,FALSE))=TRUE,VLOOKUP($H$1*A44,Data!$C$2:$X$81,22,FALSE),0)*Entry!$E$3+IF(ISNUMBER(VLOOKUP($O$1*A44,Data!$C$2:$X$81,22,FALSE))=TRUE,VLOOKUP($O$1*A44,Data!$C$2:$X$81,22,FALSE),0)*Entry!$E$4+IF(ISNUMBER(VLOOKUP($V$1*A44,Data!$C$2:$X$81,22,FALSE))=TRUE,VLOOKUP($V$1*A44,Data!$C$2:$X$81,22,FALSE),0)*Entry!$E$5+IF(ISNUMBER(VLOOKUP($AC$1*A44,Data!$C$2:$X$81,22,FALSE))=TRUE,VLOOKUP($AC$1*A44,Data!$C$2:$X$81,22,FALSE),0)*Entry!$E$6+IF(ISNUMBER(VLOOKUP($AC$19*A44,Data!$C$2:$X$81,22,FALSE))=TRUE,VLOOKUP($AC$19*A44,Data!$C$2:$X$81,22,FALSE),0)*Entry!$E$7+IF(ISNUMBER(VLOOKUP($V$19*A44,Data!$C$2:$X$81,22,FALSE))=TRUE,VLOOKUP($V$19*A44,Data!$C$2:$X$81,22,FALSE),0)*Entry!$E$8+IF(ISNUMBER(VLOOKUP($O$19*A44,Data!$C$2:$X$81,22,FALSE))=TRUE,VLOOKUP($O$19*A44,Data!$C$2:$X$81,22,FALSE),0)*Entry!$E$9+IF(ISNUMBER(VLOOKUP($H$19*A44,Data!$C$2:$X$81,22,FALSE))=TRUE,VLOOKUP($H$19*A44,Data!$C$2:$X$81,22,FALSE),0)*Entry!$E$10+IF(ISNUMBER(VLOOKUP($A$19*A44,Data!$C$2:$X$81,22,FALSE))=TRUE,VLOOKUP($A$19*A44,Data!$C$2:$X$81,22,FALSE),0)*Entry!$E$11)/4</f>
        <v>8679978</v>
      </c>
      <c r="D44" s="12">
        <f t="shared" si="20"/>
        <v>0.79376485155062193</v>
      </c>
      <c r="E44">
        <f>(IF(ISNUMBER(VLOOKUP($V$1*A44,Data!$C$2:$X$81,2,FALSE))=TRUE,VLOOKUP($V$1*A44,Data!$C$2:$X$81,2,FALSE),0)*Entry!$F$5+IF(ISNUMBER(VLOOKUP($AC$1*A44,Data!$C$2:$X$81,2,FALSE))=TRUE,VLOOKUP($AC$1*A44,Data!$C$2:$X$81,2,FALSE),0)*Entry!$F$6+IF(ISNUMBER(VLOOKUP($AC$19*A44,Data!$C$2:$X$81,2,FALSE))=TRUE,VLOOKUP($AC$19*A44,Data!$C$2:$X$81,2,FALSE),0)*Entry!$F$7+IF(ISNUMBER(VLOOKUP($V$19*A44,Data!$C$2:$X$81,2,FALSE))=TRUE,VLOOKUP($V$19*A44,Data!$C$2:$X$81,2,FALSE),0)*Entry!$F$8)/4</f>
        <v>11904763.75</v>
      </c>
      <c r="F44">
        <f>(IF(ISNUMBER(VLOOKUP($V$1*A44,Data!$C$2:$X$81,22,FALSE))=TRUE,VLOOKUP($V$1*A44,Data!$C$2:$X$81,22,FALSE),0)*Entry!$F$5+IF(ISNUMBER(VLOOKUP($AC$1*A44,Data!$C$2:$X$81,22,FALSE))=TRUE,VLOOKUP($AC$1*A44,Data!$C$2:$X$81,22,FALSE),0)*Entry!$F$6+IF(ISNUMBER(VLOOKUP($AC$19*A44,Data!$C$2:$X$81,22,FALSE))=TRUE,VLOOKUP($AC$19*A44,Data!$C$2:$X$81,22,FALSE),0)*Entry!$F$7+IF(ISNUMBER(VLOOKUP($V$19*A44,Data!$C$2:$X$81,22,FALSE))=TRUE,VLOOKUP($V$19*A44,Data!$C$2:$X$81,22,FALSE),0)*Entry!$F$8)/4</f>
        <v>9496056.25</v>
      </c>
      <c r="G44" s="12">
        <f t="shared" si="21"/>
        <v>0.79766860136136675</v>
      </c>
      <c r="H44" s="12" t="e">
        <f>Entry!$A$4</f>
        <v>#N/A</v>
      </c>
      <c r="J44">
        <v>6</v>
      </c>
      <c r="K44" s="12">
        <f>K43+50</f>
        <v>24600</v>
      </c>
      <c r="L44">
        <f>VLOOKUP(K44,Data!$C$1:$X$81,6,FALSE)</f>
        <v>0</v>
      </c>
      <c r="M44">
        <f>VLOOKUP(K44,Data!$C$1:$X$81,18,FALSE)</f>
        <v>0</v>
      </c>
      <c r="N44" s="12">
        <f>Entry!$A$8-K44</f>
        <v>-32</v>
      </c>
      <c r="O44" s="12">
        <f t="shared" si="22"/>
        <v>32</v>
      </c>
      <c r="P44" s="12">
        <f t="shared" si="23"/>
        <v>-32</v>
      </c>
      <c r="Q44">
        <f t="shared" si="38"/>
        <v>-1.5625</v>
      </c>
      <c r="R44">
        <f t="shared" si="39"/>
        <v>-2.7777777777777777</v>
      </c>
      <c r="S44" s="12">
        <f t="shared" si="40"/>
        <v>24600</v>
      </c>
      <c r="T44" s="12">
        <f>Entry!$A$8</f>
        <v>24568</v>
      </c>
      <c r="U44" s="6">
        <f t="shared" si="24"/>
        <v>-1.3016597997959148E-3</v>
      </c>
      <c r="V44">
        <f>VLOOKUP(K44,Data!$C$1:$X$81,5,FALSE)/100</f>
        <v>0</v>
      </c>
      <c r="W44">
        <f ca="1">(Entry!$A$16+((V44)^2)/2)*Entry!$A$18</f>
        <v>5.7534246575342461E-4</v>
      </c>
      <c r="X44">
        <f ca="1">V44*SQRT(Entry!$A$18)</f>
        <v>0</v>
      </c>
      <c r="Y44" t="e">
        <f t="shared" ca="1" si="25"/>
        <v>#DIV/0!</v>
      </c>
      <c r="Z44" t="e">
        <f t="shared" ca="1" si="26"/>
        <v>#DIV/0!</v>
      </c>
      <c r="AA44" t="e">
        <f t="shared" ca="1" si="27"/>
        <v>#DIV/0!</v>
      </c>
      <c r="AB44" t="e">
        <f t="shared" ca="1" si="28"/>
        <v>#DIV/0!</v>
      </c>
      <c r="AC44">
        <f ca="1">EXP(-Entry!$A$16*Entry!$A$18)</f>
        <v>0.9994248230119861</v>
      </c>
      <c r="AD44" t="e">
        <f t="shared" ca="1" si="29"/>
        <v>#DIV/0!</v>
      </c>
      <c r="AE44">
        <f>VLOOKUP(K44,Data!$C$1:$X$81,19,FALSE)/100</f>
        <v>0</v>
      </c>
      <c r="AF44">
        <f ca="1">(Entry!$A$16+((AE44)^2)/2)*Entry!$A$18</f>
        <v>5.7534246575342461E-4</v>
      </c>
      <c r="AG44">
        <f ca="1">AE44*SQRT(Entry!$A$18)</f>
        <v>0</v>
      </c>
      <c r="AH44" t="e">
        <f t="shared" ca="1" si="30"/>
        <v>#DIV/0!</v>
      </c>
      <c r="AI44" t="e">
        <f t="shared" ca="1" si="31"/>
        <v>#DIV/0!</v>
      </c>
      <c r="AJ44" t="e">
        <f t="shared" ca="1" si="32"/>
        <v>#DIV/0!</v>
      </c>
      <c r="AK44" t="e">
        <f t="shared" ca="1" si="33"/>
        <v>#DIV/0!</v>
      </c>
      <c r="AL44" t="e">
        <f t="shared" ca="1" si="34"/>
        <v>#DIV/0!</v>
      </c>
      <c r="AM44" s="6" t="e">
        <f t="shared" ca="1" si="35"/>
        <v>#DIV/0!</v>
      </c>
      <c r="AN44" s="6" t="e">
        <f t="shared" ca="1" si="36"/>
        <v>#DIV/0!</v>
      </c>
      <c r="AO44" s="12">
        <f t="shared" si="37"/>
        <v>24600</v>
      </c>
    </row>
    <row r="45" spans="1:41" x14ac:dyDescent="0.3">
      <c r="A45">
        <v>7</v>
      </c>
      <c r="B45">
        <f>(IF(ISNUMBER(VLOOKUP($A$1*A45,Data!$C$2:$X$81,2,FALSE))=TRUE,VLOOKUP($A$1*A45,Data!$C$2:$X$81,2,FALSE),0)*Entry!$E$2+ IF(ISNUMBER(VLOOKUP($H$1*A45,Data!$C$2:$X$81,2,FALSE))=TRUE,VLOOKUP($H$1*A45,Data!$C$2:$X$81,2,FALSE),0)*Entry!$E$3+IF(ISNUMBER(VLOOKUP($O$1*A45,Data!$C$2:$X$81,2,FALSE))=TRUE,VLOOKUP($O$1*A45,Data!$C$2:$X$81,2,FALSE),0)*Entry!$E$4+IF(ISNUMBER(VLOOKUP($V$1*A45,Data!$C$2:$X$81,2,FALSE))=TRUE,VLOOKUP($V$1*A45,Data!$C$2:$X$81,2,FALSE),0)*Entry!$E$5+IF(ISNUMBER(VLOOKUP($AC$1*A45,Data!$C$2:$X$81,2,FALSE))=TRUE,VLOOKUP($AC$1*A45,Data!$C$2:$X$81,2,FALSE),0)*Entry!$E$6+IF(ISNUMBER(VLOOKUP($AC$19*A45,Data!$C$2:$X$81,2,FALSE))=TRUE,VLOOKUP($AC$19*A45,Data!$C$2:$X$81,2,FALSE),0)*Entry!$E$7+IF(ISNUMBER(VLOOKUP($V$19*A45,Data!$C$2:$X$81,2,FALSE))=TRUE,VLOOKUP($V$19*A45,Data!$C$2:$X$81,2,FALSE),0)*Entry!$E$8+IF(ISNUMBER(VLOOKUP($O$19*A45,Data!$C$2:$X$81,2,FALSE))=TRUE,VLOOKUP($O$19*A45,Data!$C$2:$X$81,2,FALSE),0)*Entry!$E$9+IF(ISNUMBER(VLOOKUP($H$19*A45,Data!$C$2:$X$81,2,FALSE))=TRUE,VLOOKUP($H$19*A45,Data!$C$2:$X$81,2,FALSE),0)*Entry!$E$10+IF(ISNUMBER(VLOOKUP($A$19*A45,Data!$C$2:$X$81,2,FALSE))=TRUE,VLOOKUP($A$19*A45,Data!$C$2:$X$81,2,FALSE),0)*Entry!$E$11)/4</f>
        <v>11257988.25</v>
      </c>
      <c r="C45">
        <f>(IF(ISNUMBER(VLOOKUP($A$1*A45,Data!$C$2:$X$81,22,FALSE))=TRUE,VLOOKUP($A$1*A45,Data!$C$2:$X$81,22,FALSE),0)*Entry!$E$2+ IF(ISNUMBER(VLOOKUP($H$1*A45,Data!$C$2:$X$81,22,FALSE))=TRUE,VLOOKUP($H$1*A45,Data!$C$2:$X$81,22,FALSE),0)*Entry!$E$3+IF(ISNUMBER(VLOOKUP($O$1*A45,Data!$C$2:$X$81,22,FALSE))=TRUE,VLOOKUP($O$1*A45,Data!$C$2:$X$81,22,FALSE),0)*Entry!$E$4+IF(ISNUMBER(VLOOKUP($V$1*A45,Data!$C$2:$X$81,22,FALSE))=TRUE,VLOOKUP($V$1*A45,Data!$C$2:$X$81,22,FALSE),0)*Entry!$E$5+IF(ISNUMBER(VLOOKUP($AC$1*A45,Data!$C$2:$X$81,22,FALSE))=TRUE,VLOOKUP($AC$1*A45,Data!$C$2:$X$81,22,FALSE),0)*Entry!$E$6+IF(ISNUMBER(VLOOKUP($AC$19*A45,Data!$C$2:$X$81,22,FALSE))=TRUE,VLOOKUP($AC$19*A45,Data!$C$2:$X$81,22,FALSE),0)*Entry!$E$7+IF(ISNUMBER(VLOOKUP($V$19*A45,Data!$C$2:$X$81,22,FALSE))=TRUE,VLOOKUP($V$19*A45,Data!$C$2:$X$81,22,FALSE),0)*Entry!$E$8+IF(ISNUMBER(VLOOKUP($O$19*A45,Data!$C$2:$X$81,22,FALSE))=TRUE,VLOOKUP($O$19*A45,Data!$C$2:$X$81,22,FALSE),0)*Entry!$E$9+IF(ISNUMBER(VLOOKUP($H$19*A45,Data!$C$2:$X$81,22,FALSE))=TRUE,VLOOKUP($H$19*A45,Data!$C$2:$X$81,22,FALSE),0)*Entry!$E$10+IF(ISNUMBER(VLOOKUP($A$19*A45,Data!$C$2:$X$81,22,FALSE))=TRUE,VLOOKUP($A$19*A45,Data!$C$2:$X$81,22,FALSE),0)*Entry!$E$11)/4</f>
        <v>8317630.25</v>
      </c>
      <c r="D45" s="12">
        <f t="shared" si="20"/>
        <v>0.73882029944381933</v>
      </c>
      <c r="E45">
        <f>(IF(ISNUMBER(VLOOKUP($V$1*A45,Data!$C$2:$X$81,2,FALSE))=TRUE,VLOOKUP($V$1*A45,Data!$C$2:$X$81,2,FALSE),0)*Entry!$F$5+IF(ISNUMBER(VLOOKUP($AC$1*A45,Data!$C$2:$X$81,2,FALSE))=TRUE,VLOOKUP($AC$1*A45,Data!$C$2:$X$81,2,FALSE),0)*Entry!$F$6+IF(ISNUMBER(VLOOKUP($AC$19*A45,Data!$C$2:$X$81,2,FALSE))=TRUE,VLOOKUP($AC$19*A45,Data!$C$2:$X$81,2,FALSE),0)*Entry!$F$7+IF(ISNUMBER(VLOOKUP($V$19*A45,Data!$C$2:$X$81,2,FALSE))=TRUE,VLOOKUP($V$19*A45,Data!$C$2:$X$81,2,FALSE),0)*Entry!$F$8)/4</f>
        <v>12266472.5</v>
      </c>
      <c r="F45">
        <f>(IF(ISNUMBER(VLOOKUP($V$1*A45,Data!$C$2:$X$81,22,FALSE))=TRUE,VLOOKUP($V$1*A45,Data!$C$2:$X$81,22,FALSE),0)*Entry!$F$5+IF(ISNUMBER(VLOOKUP($AC$1*A45,Data!$C$2:$X$81,22,FALSE))=TRUE,VLOOKUP($AC$1*A45,Data!$C$2:$X$81,22,FALSE),0)*Entry!$F$6+IF(ISNUMBER(VLOOKUP($AC$19*A45,Data!$C$2:$X$81,22,FALSE))=TRUE,VLOOKUP($AC$19*A45,Data!$C$2:$X$81,22,FALSE),0)*Entry!$F$7+IF(ISNUMBER(VLOOKUP($V$19*A45,Data!$C$2:$X$81,22,FALSE))=TRUE,VLOOKUP($V$19*A45,Data!$C$2:$X$81,22,FALSE),0)*Entry!$F$8)/4</f>
        <v>9125557.5</v>
      </c>
      <c r="G45" s="12">
        <f t="shared" si="21"/>
        <v>0.7439430936644581</v>
      </c>
      <c r="H45" s="12" t="e">
        <f>Entry!$A$4</f>
        <v>#N/A</v>
      </c>
      <c r="J45">
        <v>7</v>
      </c>
      <c r="K45" s="12">
        <f>K44+50</f>
        <v>24650</v>
      </c>
      <c r="L45">
        <f>VLOOKUP(K45,Data!$C$1:$X$81,6,FALSE)</f>
        <v>0</v>
      </c>
      <c r="M45">
        <f>VLOOKUP(K45,Data!$C$1:$X$81,18,FALSE)</f>
        <v>0</v>
      </c>
      <c r="N45" s="12">
        <f>Entry!$A$8-K45</f>
        <v>-82</v>
      </c>
      <c r="O45" s="12">
        <f t="shared" si="22"/>
        <v>82</v>
      </c>
      <c r="P45" s="12">
        <f t="shared" si="23"/>
        <v>-82</v>
      </c>
      <c r="Q45">
        <f t="shared" si="38"/>
        <v>-0.6097560975609756</v>
      </c>
      <c r="R45">
        <f t="shared" si="39"/>
        <v>1.5625</v>
      </c>
      <c r="S45" s="12">
        <f t="shared" si="40"/>
        <v>24650</v>
      </c>
      <c r="T45" s="12">
        <f>Entry!$A$8</f>
        <v>24568</v>
      </c>
      <c r="U45" s="6">
        <f t="shared" si="24"/>
        <v>-3.3321173501778727E-3</v>
      </c>
      <c r="V45">
        <f>VLOOKUP(K45,Data!$C$1:$X$81,5,FALSE)/100</f>
        <v>0</v>
      </c>
      <c r="W45">
        <f ca="1">(Entry!$A$16+((V45)^2)/2)*Entry!$A$18</f>
        <v>5.7534246575342461E-4</v>
      </c>
      <c r="X45">
        <f ca="1">V45*SQRT(Entry!$A$18)</f>
        <v>0</v>
      </c>
      <c r="Y45" t="e">
        <f t="shared" ca="1" si="25"/>
        <v>#DIV/0!</v>
      </c>
      <c r="Z45" t="e">
        <f t="shared" ca="1" si="26"/>
        <v>#DIV/0!</v>
      </c>
      <c r="AA45" t="e">
        <f t="shared" ca="1" si="27"/>
        <v>#DIV/0!</v>
      </c>
      <c r="AB45" t="e">
        <f t="shared" ca="1" si="28"/>
        <v>#DIV/0!</v>
      </c>
      <c r="AC45">
        <f ca="1">EXP(-Entry!$A$16*Entry!$A$18)</f>
        <v>0.9994248230119861</v>
      </c>
      <c r="AD45" t="e">
        <f t="shared" ca="1" si="29"/>
        <v>#DIV/0!</v>
      </c>
      <c r="AE45">
        <f>VLOOKUP(K45,Data!$C$1:$X$81,19,FALSE)/100</f>
        <v>0</v>
      </c>
      <c r="AF45">
        <f ca="1">(Entry!$A$16+((AE45)^2)/2)*Entry!$A$18</f>
        <v>5.7534246575342461E-4</v>
      </c>
      <c r="AG45">
        <f ca="1">AE45*SQRT(Entry!$A$18)</f>
        <v>0</v>
      </c>
      <c r="AH45" t="e">
        <f t="shared" ca="1" si="30"/>
        <v>#DIV/0!</v>
      </c>
      <c r="AI45" t="e">
        <f t="shared" ca="1" si="31"/>
        <v>#DIV/0!</v>
      </c>
      <c r="AJ45" t="e">
        <f t="shared" ca="1" si="32"/>
        <v>#DIV/0!</v>
      </c>
      <c r="AK45" t="e">
        <f t="shared" ca="1" si="33"/>
        <v>#DIV/0!</v>
      </c>
      <c r="AL45" t="e">
        <f t="shared" ca="1" si="34"/>
        <v>#DIV/0!</v>
      </c>
      <c r="AM45" s="6" t="e">
        <f t="shared" ca="1" si="35"/>
        <v>#DIV/0!</v>
      </c>
      <c r="AN45" s="6" t="e">
        <f t="shared" ca="1" si="36"/>
        <v>#DIV/0!</v>
      </c>
      <c r="AO45" s="12">
        <f t="shared" si="37"/>
        <v>24650</v>
      </c>
    </row>
    <row r="46" spans="1:41" x14ac:dyDescent="0.3">
      <c r="A46">
        <v>8</v>
      </c>
      <c r="B46">
        <f>(IF(ISNUMBER(VLOOKUP($A$1*A46,Data!$C$2:$X$81,2,FALSE))=TRUE,VLOOKUP($A$1*A46,Data!$C$2:$X$81,2,FALSE),0)*Entry!$E$2+ IF(ISNUMBER(VLOOKUP($H$1*A46,Data!$C$2:$X$81,2,FALSE))=TRUE,VLOOKUP($H$1*A46,Data!$C$2:$X$81,2,FALSE),0)*Entry!$E$3+IF(ISNUMBER(VLOOKUP($O$1*A46,Data!$C$2:$X$81,2,FALSE))=TRUE,VLOOKUP($O$1*A46,Data!$C$2:$X$81,2,FALSE),0)*Entry!$E$4+IF(ISNUMBER(VLOOKUP($V$1*A46,Data!$C$2:$X$81,2,FALSE))=TRUE,VLOOKUP($V$1*A46,Data!$C$2:$X$81,2,FALSE),0)*Entry!$E$5+IF(ISNUMBER(VLOOKUP($AC$1*A46,Data!$C$2:$X$81,2,FALSE))=TRUE,VLOOKUP($AC$1*A46,Data!$C$2:$X$81,2,FALSE),0)*Entry!$E$6+IF(ISNUMBER(VLOOKUP($AC$19*A46,Data!$C$2:$X$81,2,FALSE))=TRUE,VLOOKUP($AC$19*A46,Data!$C$2:$X$81,2,FALSE),0)*Entry!$E$7+IF(ISNUMBER(VLOOKUP($V$19*A46,Data!$C$2:$X$81,2,FALSE))=TRUE,VLOOKUP($V$19*A46,Data!$C$2:$X$81,2,FALSE),0)*Entry!$E$8+IF(ISNUMBER(VLOOKUP($O$19*A46,Data!$C$2:$X$81,2,FALSE))=TRUE,VLOOKUP($O$19*A46,Data!$C$2:$X$81,2,FALSE),0)*Entry!$E$9+IF(ISNUMBER(VLOOKUP($H$19*A46,Data!$C$2:$X$81,2,FALSE))=TRUE,VLOOKUP($H$19*A46,Data!$C$2:$X$81,2,FALSE),0)*Entry!$E$10+IF(ISNUMBER(VLOOKUP($A$19*A46,Data!$C$2:$X$81,2,FALSE))=TRUE,VLOOKUP($A$19*A46,Data!$C$2:$X$81,2,FALSE),0)*Entry!$E$11)/4</f>
        <v>11616440</v>
      </c>
      <c r="C46">
        <f>(IF(ISNUMBER(VLOOKUP($A$1*A46,Data!$C$2:$X$81,22,FALSE))=TRUE,VLOOKUP($A$1*A46,Data!$C$2:$X$81,22,FALSE),0)*Entry!$E$2+ IF(ISNUMBER(VLOOKUP($H$1*A46,Data!$C$2:$X$81,22,FALSE))=TRUE,VLOOKUP($H$1*A46,Data!$C$2:$X$81,22,FALSE),0)*Entry!$E$3+IF(ISNUMBER(VLOOKUP($O$1*A46,Data!$C$2:$X$81,22,FALSE))=TRUE,VLOOKUP($O$1*A46,Data!$C$2:$X$81,22,FALSE),0)*Entry!$E$4+IF(ISNUMBER(VLOOKUP($V$1*A46,Data!$C$2:$X$81,22,FALSE))=TRUE,VLOOKUP($V$1*A46,Data!$C$2:$X$81,22,FALSE),0)*Entry!$E$5+IF(ISNUMBER(VLOOKUP($AC$1*A46,Data!$C$2:$X$81,22,FALSE))=TRUE,VLOOKUP($AC$1*A46,Data!$C$2:$X$81,22,FALSE),0)*Entry!$E$6+IF(ISNUMBER(VLOOKUP($AC$19*A46,Data!$C$2:$X$81,22,FALSE))=TRUE,VLOOKUP($AC$19*A46,Data!$C$2:$X$81,22,FALSE),0)*Entry!$E$7+IF(ISNUMBER(VLOOKUP($V$19*A46,Data!$C$2:$X$81,22,FALSE))=TRUE,VLOOKUP($V$19*A46,Data!$C$2:$X$81,22,FALSE),0)*Entry!$E$8+IF(ISNUMBER(VLOOKUP($O$19*A46,Data!$C$2:$X$81,22,FALSE))=TRUE,VLOOKUP($O$19*A46,Data!$C$2:$X$81,22,FALSE),0)*Entry!$E$9+IF(ISNUMBER(VLOOKUP($H$19*A46,Data!$C$2:$X$81,22,FALSE))=TRUE,VLOOKUP($H$19*A46,Data!$C$2:$X$81,22,FALSE),0)*Entry!$E$10+IF(ISNUMBER(VLOOKUP($A$19*A46,Data!$C$2:$X$81,22,FALSE))=TRUE,VLOOKUP($A$19*A46,Data!$C$2:$X$81,22,FALSE),0)*Entry!$E$11)/4</f>
        <v>7856391</v>
      </c>
      <c r="D46" s="12">
        <f t="shared" si="20"/>
        <v>0.67631658236086101</v>
      </c>
      <c r="E46">
        <f>(IF(ISNUMBER(VLOOKUP($V$1*A46,Data!$C$2:$X$81,2,FALSE))=TRUE,VLOOKUP($V$1*A46,Data!$C$2:$X$81,2,FALSE),0)*Entry!$F$5+IF(ISNUMBER(VLOOKUP($AC$1*A46,Data!$C$2:$X$81,2,FALSE))=TRUE,VLOOKUP($AC$1*A46,Data!$C$2:$X$81,2,FALSE),0)*Entry!$F$6+IF(ISNUMBER(VLOOKUP($AC$19*A46,Data!$C$2:$X$81,2,FALSE))=TRUE,VLOOKUP($AC$19*A46,Data!$C$2:$X$81,2,FALSE),0)*Entry!$F$7+IF(ISNUMBER(VLOOKUP($V$19*A46,Data!$C$2:$X$81,2,FALSE))=TRUE,VLOOKUP($V$19*A46,Data!$C$2:$X$81,2,FALSE),0)*Entry!$F$8)/4</f>
        <v>12684066.25</v>
      </c>
      <c r="F46">
        <f>(IF(ISNUMBER(VLOOKUP($V$1*A46,Data!$C$2:$X$81,22,FALSE))=TRUE,VLOOKUP($V$1*A46,Data!$C$2:$X$81,22,FALSE),0)*Entry!$F$5+IF(ISNUMBER(VLOOKUP($AC$1*A46,Data!$C$2:$X$81,22,FALSE))=TRUE,VLOOKUP($AC$1*A46,Data!$C$2:$X$81,22,FALSE),0)*Entry!$F$6+IF(ISNUMBER(VLOOKUP($AC$19*A46,Data!$C$2:$X$81,22,FALSE))=TRUE,VLOOKUP($AC$19*A46,Data!$C$2:$X$81,22,FALSE),0)*Entry!$F$7+IF(ISNUMBER(VLOOKUP($V$19*A46,Data!$C$2:$X$81,22,FALSE))=TRUE,VLOOKUP($V$19*A46,Data!$C$2:$X$81,22,FALSE),0)*Entry!$F$8)/4</f>
        <v>8608256.25</v>
      </c>
      <c r="G46" s="12">
        <f t="shared" si="21"/>
        <v>0.6786669259158119</v>
      </c>
      <c r="H46" s="12" t="e">
        <f>Entry!$A$4</f>
        <v>#N/A</v>
      </c>
      <c r="J46">
        <v>8</v>
      </c>
      <c r="K46" s="12">
        <f>K45+50</f>
        <v>24700</v>
      </c>
      <c r="L46">
        <f>VLOOKUP(K46,Data!$C$1:$X$81,6,FALSE)</f>
        <v>0</v>
      </c>
      <c r="M46">
        <f>VLOOKUP(K46,Data!$C$1:$X$81,18,FALSE)</f>
        <v>0</v>
      </c>
      <c r="N46" s="12">
        <f>Entry!$A$8-K46</f>
        <v>-132</v>
      </c>
      <c r="O46" s="12">
        <f t="shared" si="22"/>
        <v>132</v>
      </c>
      <c r="P46" s="12">
        <f t="shared" si="23"/>
        <v>-132</v>
      </c>
      <c r="Q46">
        <f t="shared" si="38"/>
        <v>-0.37878787878787878</v>
      </c>
      <c r="R46">
        <f t="shared" si="39"/>
        <v>0.6097560975609756</v>
      </c>
      <c r="S46" s="12">
        <f t="shared" si="40"/>
        <v>24700</v>
      </c>
      <c r="T46" s="12">
        <f>Entry!$A$8</f>
        <v>24568</v>
      </c>
      <c r="U46" s="6">
        <f t="shared" si="24"/>
        <v>-5.3584604954103054E-3</v>
      </c>
      <c r="V46">
        <f>VLOOKUP(K46,Data!$C$1:$X$81,5,FALSE)/100</f>
        <v>0</v>
      </c>
      <c r="W46">
        <f ca="1">(Entry!$A$16+((V46)^2)/2)*Entry!$A$18</f>
        <v>5.7534246575342461E-4</v>
      </c>
      <c r="X46">
        <f ca="1">V46*SQRT(Entry!$A$18)</f>
        <v>0</v>
      </c>
      <c r="Y46" t="e">
        <f t="shared" ca="1" si="25"/>
        <v>#DIV/0!</v>
      </c>
      <c r="Z46" t="e">
        <f t="shared" ca="1" si="26"/>
        <v>#DIV/0!</v>
      </c>
      <c r="AA46" t="e">
        <f t="shared" ca="1" si="27"/>
        <v>#DIV/0!</v>
      </c>
      <c r="AB46" t="e">
        <f t="shared" ca="1" si="28"/>
        <v>#DIV/0!</v>
      </c>
      <c r="AC46">
        <f ca="1">EXP(-Entry!$A$16*Entry!$A$18)</f>
        <v>0.9994248230119861</v>
      </c>
      <c r="AD46" t="e">
        <f t="shared" ca="1" si="29"/>
        <v>#DIV/0!</v>
      </c>
      <c r="AE46">
        <f>VLOOKUP(K46,Data!$C$1:$X$81,19,FALSE)/100</f>
        <v>0</v>
      </c>
      <c r="AF46">
        <f ca="1">(Entry!$A$16+((AE46)^2)/2)*Entry!$A$18</f>
        <v>5.7534246575342461E-4</v>
      </c>
      <c r="AG46">
        <f ca="1">AE46*SQRT(Entry!$A$18)</f>
        <v>0</v>
      </c>
      <c r="AH46" t="e">
        <f t="shared" ca="1" si="30"/>
        <v>#DIV/0!</v>
      </c>
      <c r="AI46" t="e">
        <f t="shared" ca="1" si="31"/>
        <v>#DIV/0!</v>
      </c>
      <c r="AJ46" t="e">
        <f t="shared" ca="1" si="32"/>
        <v>#DIV/0!</v>
      </c>
      <c r="AK46" t="e">
        <f t="shared" ca="1" si="33"/>
        <v>#DIV/0!</v>
      </c>
      <c r="AL46" t="e">
        <f t="shared" ca="1" si="34"/>
        <v>#DIV/0!</v>
      </c>
      <c r="AM46" s="6" t="e">
        <f t="shared" ca="1" si="35"/>
        <v>#DIV/0!</v>
      </c>
      <c r="AN46" s="6" t="e">
        <f t="shared" ca="1" si="36"/>
        <v>#DIV/0!</v>
      </c>
      <c r="AO46" s="12">
        <f t="shared" si="37"/>
        <v>24700</v>
      </c>
    </row>
    <row r="47" spans="1:41" x14ac:dyDescent="0.3">
      <c r="D47" s="12" t="e">
        <f>MAX(D39:D46)-MIN(D39:D46)</f>
        <v>#DIV/0!</v>
      </c>
      <c r="G47" s="12" t="e">
        <f>MAX(G39:G46)-MIN(G39:G46)</f>
        <v>#DIV/0!</v>
      </c>
      <c r="H47" s="12" t="e">
        <f>MAX(H39:H46)-MIN(H39:H46)</f>
        <v>#N/A</v>
      </c>
      <c r="J47">
        <v>9</v>
      </c>
      <c r="K47" s="12">
        <f>K46+50</f>
        <v>24750</v>
      </c>
      <c r="L47">
        <f>VLOOKUP(K47,Data!$C$1:$X$81,6,FALSE)</f>
        <v>0</v>
      </c>
      <c r="M47">
        <f>VLOOKUP(K47,Data!$C$1:$X$81,18,FALSE)</f>
        <v>0</v>
      </c>
      <c r="N47" s="12">
        <f>Entry!$A$8-K47</f>
        <v>-182</v>
      </c>
      <c r="O47" s="12">
        <f t="shared" si="22"/>
        <v>182</v>
      </c>
      <c r="P47" s="12">
        <f t="shared" si="23"/>
        <v>-182</v>
      </c>
      <c r="Q47">
        <f t="shared" si="38"/>
        <v>-0.27472527472527475</v>
      </c>
      <c r="R47">
        <f t="shared" si="39"/>
        <v>0.37878787878787878</v>
      </c>
      <c r="S47" s="12">
        <f t="shared" si="40"/>
        <v>24750</v>
      </c>
      <c r="T47" s="12">
        <f>Entry!$A$8</f>
        <v>24568</v>
      </c>
      <c r="U47" s="6">
        <f t="shared" si="24"/>
        <v>-7.3807058761780446E-3</v>
      </c>
      <c r="V47">
        <f>VLOOKUP(K47,Data!$C$1:$X$81,5,FALSE)/100</f>
        <v>0</v>
      </c>
      <c r="W47">
        <f ca="1">(Entry!$A$16+((V47)^2)/2)*Entry!$A$18</f>
        <v>5.7534246575342461E-4</v>
      </c>
      <c r="X47">
        <f ca="1">V47*SQRT(Entry!$A$18)</f>
        <v>0</v>
      </c>
      <c r="Y47" t="e">
        <f t="shared" ca="1" si="25"/>
        <v>#DIV/0!</v>
      </c>
      <c r="Z47" t="e">
        <f t="shared" ca="1" si="26"/>
        <v>#DIV/0!</v>
      </c>
      <c r="AA47" t="e">
        <f t="shared" ca="1" si="27"/>
        <v>#DIV/0!</v>
      </c>
      <c r="AB47" t="e">
        <f t="shared" ca="1" si="28"/>
        <v>#DIV/0!</v>
      </c>
      <c r="AC47">
        <f ca="1">EXP(-Entry!$A$16*Entry!$A$18)</f>
        <v>0.9994248230119861</v>
      </c>
      <c r="AD47" t="e">
        <f t="shared" ca="1" si="29"/>
        <v>#DIV/0!</v>
      </c>
      <c r="AE47">
        <f>VLOOKUP(K47,Data!$C$1:$X$81,19,FALSE)/100</f>
        <v>0</v>
      </c>
      <c r="AF47">
        <f ca="1">(Entry!$A$16+((AE47)^2)/2)*Entry!$A$18</f>
        <v>5.7534246575342461E-4</v>
      </c>
      <c r="AG47">
        <f ca="1">AE47*SQRT(Entry!$A$18)</f>
        <v>0</v>
      </c>
      <c r="AH47" t="e">
        <f t="shared" ca="1" si="30"/>
        <v>#DIV/0!</v>
      </c>
      <c r="AI47" t="e">
        <f t="shared" ca="1" si="31"/>
        <v>#DIV/0!</v>
      </c>
      <c r="AJ47" t="e">
        <f t="shared" ca="1" si="32"/>
        <v>#DIV/0!</v>
      </c>
      <c r="AK47" t="e">
        <f t="shared" ca="1" si="33"/>
        <v>#DIV/0!</v>
      </c>
      <c r="AL47" t="e">
        <f t="shared" ca="1" si="34"/>
        <v>#DIV/0!</v>
      </c>
      <c r="AM47" s="6" t="e">
        <f t="shared" ca="1" si="35"/>
        <v>#DIV/0!</v>
      </c>
      <c r="AN47" s="6" t="e">
        <f t="shared" ca="1" si="36"/>
        <v>#DIV/0!</v>
      </c>
      <c r="AO47" s="12">
        <f t="shared" si="37"/>
        <v>24750</v>
      </c>
    </row>
    <row r="48" spans="1:41" x14ac:dyDescent="0.3">
      <c r="J48">
        <v>10</v>
      </c>
      <c r="K48" s="12">
        <f>K47+50</f>
        <v>24800</v>
      </c>
      <c r="L48">
        <f>VLOOKUP(K48,Data!$C$1:$X$81,6,FALSE)</f>
        <v>0</v>
      </c>
      <c r="M48">
        <f>VLOOKUP(K48,Data!$C$1:$X$81,18,FALSE)</f>
        <v>0</v>
      </c>
      <c r="N48" s="12">
        <f>Entry!$A$8-K48</f>
        <v>-232</v>
      </c>
      <c r="O48" s="12">
        <f t="shared" si="22"/>
        <v>232</v>
      </c>
      <c r="P48" s="12">
        <f t="shared" si="23"/>
        <v>-232</v>
      </c>
      <c r="T48" s="12">
        <f>Entry!$A$8</f>
        <v>24568</v>
      </c>
      <c r="U48" s="6">
        <f t="shared" si="24"/>
        <v>-9.3988700324152876E-3</v>
      </c>
      <c r="V48">
        <f>VLOOKUP(K48,Data!$C$1:$X$81,5,FALSE)/100</f>
        <v>0</v>
      </c>
      <c r="W48">
        <f ca="1">(Entry!$A$16+((V48)^2)/2)*Entry!$A$18</f>
        <v>5.7534246575342461E-4</v>
      </c>
      <c r="X48">
        <f ca="1">V48*SQRT(Entry!$A$18)</f>
        <v>0</v>
      </c>
      <c r="Y48" t="e">
        <f t="shared" ca="1" si="25"/>
        <v>#DIV/0!</v>
      </c>
      <c r="Z48" t="e">
        <f t="shared" ca="1" si="26"/>
        <v>#DIV/0!</v>
      </c>
      <c r="AA48" t="e">
        <f t="shared" ca="1" si="27"/>
        <v>#DIV/0!</v>
      </c>
      <c r="AB48" t="e">
        <f t="shared" ca="1" si="28"/>
        <v>#DIV/0!</v>
      </c>
      <c r="AC48">
        <f ca="1">EXP(-Entry!$A$16*Entry!$A$18)</f>
        <v>0.9994248230119861</v>
      </c>
      <c r="AD48" t="e">
        <f t="shared" ca="1" si="29"/>
        <v>#DIV/0!</v>
      </c>
      <c r="AE48">
        <f>VLOOKUP(K48,Data!$C$1:$X$81,19,FALSE)/100</f>
        <v>0</v>
      </c>
      <c r="AF48">
        <f ca="1">(Entry!$A$16+((AE48)^2)/2)*Entry!$A$18</f>
        <v>5.7534246575342461E-4</v>
      </c>
      <c r="AG48">
        <f ca="1">AE48*SQRT(Entry!$A$18)</f>
        <v>0</v>
      </c>
      <c r="AH48" t="e">
        <f t="shared" ca="1" si="30"/>
        <v>#DIV/0!</v>
      </c>
      <c r="AI48" t="e">
        <f t="shared" ca="1" si="31"/>
        <v>#DIV/0!</v>
      </c>
      <c r="AJ48" t="e">
        <f t="shared" ca="1" si="32"/>
        <v>#DIV/0!</v>
      </c>
      <c r="AK48" t="e">
        <f t="shared" ca="1" si="33"/>
        <v>#DIV/0!</v>
      </c>
      <c r="AL48" t="e">
        <f t="shared" ca="1" si="34"/>
        <v>#DIV/0!</v>
      </c>
      <c r="AM48" s="6" t="e">
        <f t="shared" ca="1" si="35"/>
        <v>#DIV/0!</v>
      </c>
      <c r="AN48" s="6" t="e">
        <f t="shared" ca="1" si="36"/>
        <v>#DIV/0!</v>
      </c>
      <c r="AO48" s="12">
        <f t="shared" si="37"/>
        <v>24800</v>
      </c>
    </row>
    <row r="49" spans="1:40" x14ac:dyDescent="0.3">
      <c r="A49" t="s">
        <v>61</v>
      </c>
      <c r="E49" t="s">
        <v>3</v>
      </c>
      <c r="Q49">
        <f>MIN(Q40:Q47)</f>
        <v>-1.5625</v>
      </c>
      <c r="R49">
        <f>MIN(R40:R47)</f>
        <v>-2.7777777777777777</v>
      </c>
      <c r="AM49" s="6" t="e">
        <f ca="1">MIN(AM39:AM48)</f>
        <v>#DIV/0!</v>
      </c>
      <c r="AN49" s="6" t="e">
        <f ca="1">MIN(AN39:AN48)</f>
        <v>#DIV/0!</v>
      </c>
    </row>
    <row r="50" spans="1:40" x14ac:dyDescent="0.3">
      <c r="A50" t="s">
        <v>27</v>
      </c>
      <c r="B50" t="s">
        <v>62</v>
      </c>
      <c r="C50" t="s">
        <v>63</v>
      </c>
      <c r="D50" t="s">
        <v>64</v>
      </c>
      <c r="E50" t="s">
        <v>65</v>
      </c>
      <c r="F50" t="s">
        <v>63</v>
      </c>
      <c r="G50" t="s">
        <v>66</v>
      </c>
      <c r="H50" t="s">
        <v>67</v>
      </c>
      <c r="K50" s="12"/>
    </row>
    <row r="51" spans="1:40" x14ac:dyDescent="0.3">
      <c r="A51">
        <v>1</v>
      </c>
      <c r="B51">
        <f>(IF(ISNUMBER(VLOOKUP($A$1*A39,Data!$C$2:$X$81,5,FALSE))=TRUE,VLOOKUP($A$1*A39,Data!$C$2:$X$81,5,FALSE),0)+ IF(ISNUMBER(VLOOKUP($H$1*A39,Data!$C$2:$X$81,5,FALSE))=TRUE,VLOOKUP($H$1*A39,Data!$C$2:$X$81,5,FALSE),0)+IF(ISNUMBER(VLOOKUP($O$1*A39,Data!$C$2:$X$81,5,FALSE))=TRUE,VLOOKUP($O$1*A39,Data!$C$2:$X$81,5,FALSE),0)+IF(ISNUMBER(VLOOKUP($V$1*A39,Data!$C$2:$X$81,5,FALSE))=TRUE,VLOOKUP($V$1*A39,Data!$C$2:$X$81,5,FALSE),0)+IF(ISNUMBER(VLOOKUP($AC$1*A39,Data!$C$2:$X$81,5,FALSE))=TRUE,VLOOKUP($AC$1*A39,Data!$C$2:$X$81,5,FALSE),0)+IF(ISNUMBER(VLOOKUP($AC$19*A39,Data!$C$2:$X$81,5,FALSE))=TRUE,VLOOKUP($AC$19*A39,Data!$C$2:$X$81,5,FALSE),0)+IF(ISNUMBER(VLOOKUP($V$19*A39,Data!$C$2:$X$81,5,FALSE))=TRUE,VLOOKUP($V$19*A39,Data!$C$2:$X$81,5,FALSE),0)+IF(ISNUMBER(VLOOKUP($O$19*A39,Data!$C$2:$X$81,5,FALSE))=TRUE,VLOOKUP($O$19*A39,Data!$C$2:$X$81,5,FALSE),0)+IF(ISNUMBER(VLOOKUP($H$19*A39,Data!$C$2:$X$81,5,FALSE))=TRUE,VLOOKUP($H$19*A39,Data!$C$2:$X$81,5,FALSE),0)+IF(ISNUMBER(VLOOKUP($A$19*A39,Data!$C$2:$X$81,5,FALSE))=TRUE,VLOOKUP($A$19*A39,Data!$C$2:$X$81,5,FALSE),0))</f>
        <v>0</v>
      </c>
      <c r="C51">
        <f>(IF(ISNUMBER(VLOOKUP($A$1*A39,Data!$C$2:$X$81,19,FALSE))=TRUE,VLOOKUP($A$1*A39,Data!$C$2:$X$81,19,FALSE),0)+ IF(ISNUMBER(VLOOKUP($H$1*A39,Data!$C$2:$X$81,19,FALSE))=TRUE,VLOOKUP($H$1*A39,Data!$C$2:$X$81,19,FALSE),0)+IF(ISNUMBER(VLOOKUP($O$1*A39,Data!$C$2:$X$81,19,FALSE))=TRUE,VLOOKUP($O$1*A39,Data!$C$2:$X$81,19,FALSE),0)+IF(ISNUMBER(VLOOKUP($V$1*A39,Data!$C$2:$X$81,19,FALSE))=TRUE,VLOOKUP($V$1*A39,Data!$C$2:$X$81,19,FALSE),0)+IF(ISNUMBER(VLOOKUP($AC$1*A39,Data!$C$2:$X$81,19,FALSE))=TRUE,VLOOKUP($AC$1*A39,Data!$C$2:$X$81,19,FALSE),0)+IF(ISNUMBER(VLOOKUP($AC$19*A39,Data!$C$2:$X$81,19,FALSE))=TRUE,VLOOKUP($AC$19*A39,Data!$C$2:$X$81,19,FALSE),0)+IF(ISNUMBER(VLOOKUP($V$19*A39,Data!$C$2:$X$81,19,FALSE))=TRUE,VLOOKUP($V$19*A39,Data!$C$2:$X$81,19,FALSE),0)+IF(ISNUMBER(VLOOKUP($O$19*A39,Data!$C$2:$X$81,19,FALSE))=TRUE,VLOOKUP($O$19*A39,Data!$C$2:$X$81,19,FALSE),0)+IF(ISNUMBER(VLOOKUP($H$19*A39,Data!$C$2:$X$81,19,FALSE))=TRUE,VLOOKUP($H$19*A39,Data!$C$2:$X$81,19,FALSE),0)+IF(ISNUMBER(VLOOKUP($A$19*A39,Data!$C$2:$X$81,19,FALSE))=TRUE,VLOOKUP($A$19*A39,Data!$C$2:$X$81,19,FALSE),0))</f>
        <v>0</v>
      </c>
      <c r="D51" s="12">
        <f t="shared" ref="D51:D58" si="41">(B51+C51)/20</f>
        <v>0</v>
      </c>
      <c r="E51">
        <f>(IF(ISNUMBER(VLOOKUP($V$1*A39,Data!$C$2:$X$81,5,FALSE))=TRUE,VLOOKUP($V$1*A39,Data!$C$2:$X$81,5,FALSE),0)+IF(ISNUMBER(VLOOKUP($AC$1*A39,Data!$C$2:$X$81,5,FALSE))=TRUE,VLOOKUP($AC$1*A39,Data!$C$2:$X$81,5,FALSE),0)+IF(ISNUMBER(VLOOKUP($AC$19*A39,Data!$C$2:$X$81,5,FALSE))=TRUE,VLOOKUP($AC$19*A39,Data!$C$2:$X$81,5,FALSE),0)+IF(ISNUMBER(VLOOKUP($V$19*A39,Data!$C$2:$X$81,5,FALSE))=TRUE,VLOOKUP($V$19*A39,Data!$C$2:$X$81,5,FALSE),0))</f>
        <v>0</v>
      </c>
      <c r="F51">
        <f>(IF(ISNUMBER(VLOOKUP($V$1*A39,Data!$C$2:$X$81,19,FALSE))=TRUE,VLOOKUP($V$1*A39,Data!$C$2:$X$81,19,FALSE),0)+IF(ISNUMBER(VLOOKUP($AC$1*A39,Data!$C$2:$X$81,19,FALSE))=TRUE,VLOOKUP($AC$1*A39,Data!$C$2:$X$81,19,FALSE),0)+IF(ISNUMBER(VLOOKUP($AC$19*A39,Data!$C$2:$X$81,19,FALSE))=TRUE,VLOOKUP($AC$19*A39,Data!$C$2:$X$81,19,FALSE),0)+IF(ISNUMBER(VLOOKUP($V$19*A39,Data!$C$2:$X$81,19,FALSE))=TRUE,VLOOKUP($V$19*A39,Data!$C$2:$X$81,19,FALSE),0))</f>
        <v>0</v>
      </c>
      <c r="G51" s="12">
        <f t="shared" ref="G51:G58" si="42">(E51+F51)/8</f>
        <v>0</v>
      </c>
      <c r="H51" s="12">
        <f>Entry!B24</f>
        <v>6.06</v>
      </c>
    </row>
    <row r="52" spans="1:40" x14ac:dyDescent="0.3">
      <c r="A52">
        <v>2</v>
      </c>
      <c r="B52">
        <f>(IF(ISNUMBER(VLOOKUP($A$1*A40,Data!$C$2:$X$81,5,FALSE))=TRUE,VLOOKUP($A$1*A40,Data!$C$2:$X$81,5,FALSE),0)+ IF(ISNUMBER(VLOOKUP($H$1*A40,Data!$C$2:$X$81,5,FALSE))=TRUE,VLOOKUP($H$1*A40,Data!$C$2:$X$81,5,FALSE),0)+IF(ISNUMBER(VLOOKUP($O$1*A40,Data!$C$2:$X$81,5,FALSE))=TRUE,VLOOKUP($O$1*A40,Data!$C$2:$X$81,5,FALSE),0)+IF(ISNUMBER(VLOOKUP($V$1*A40,Data!$C$2:$X$81,5,FALSE))=TRUE,VLOOKUP($V$1*A40,Data!$C$2:$X$81,5,FALSE),0)+IF(ISNUMBER(VLOOKUP($AC$1*A40,Data!$C$2:$X$81,5,FALSE))=TRUE,VLOOKUP($AC$1*A40,Data!$C$2:$X$81,5,FALSE),0)+IF(ISNUMBER(VLOOKUP($AC$19*A40,Data!$C$2:$X$81,5,FALSE))=TRUE,VLOOKUP($AC$19*A40,Data!$C$2:$X$81,5,FALSE),0)+IF(ISNUMBER(VLOOKUP($V$19*A40,Data!$C$2:$X$81,5,FALSE))=TRUE,VLOOKUP($V$19*A40,Data!$C$2:$X$81,5,FALSE),0)+IF(ISNUMBER(VLOOKUP($O$19*A40,Data!$C$2:$X$81,5,FALSE))=TRUE,VLOOKUP($O$19*A40,Data!$C$2:$X$81,5,FALSE),0)+IF(ISNUMBER(VLOOKUP($H$19*A40,Data!$C$2:$X$81,5,FALSE))=TRUE,VLOOKUP($H$19*A40,Data!$C$2:$X$81,5,FALSE),0)+IF(ISNUMBER(VLOOKUP($A$19*A40,Data!$C$2:$X$81,5,FALSE))=TRUE,VLOOKUP($A$19*A40,Data!$C$2:$X$81,5,FALSE),0))</f>
        <v>26</v>
      </c>
      <c r="C52">
        <f>(IF(ISNUMBER(VLOOKUP($A$1*A40,Data!$C$2:$X$81,19,FALSE))=TRUE,VLOOKUP($A$1*A40,Data!$C$2:$X$81,19,FALSE),0)+ IF(ISNUMBER(VLOOKUP($H$1*A40,Data!$C$2:$X$81,19,FALSE))=TRUE,VLOOKUP($H$1*A40,Data!$C$2:$X$81,19,FALSE),0)+IF(ISNUMBER(VLOOKUP($O$1*A40,Data!$C$2:$X$81,19,FALSE))=TRUE,VLOOKUP($O$1*A40,Data!$C$2:$X$81,19,FALSE),0)+IF(ISNUMBER(VLOOKUP($V$1*A40,Data!$C$2:$X$81,19,FALSE))=TRUE,VLOOKUP($V$1*A40,Data!$C$2:$X$81,19,FALSE),0)+IF(ISNUMBER(VLOOKUP($AC$1*A40,Data!$C$2:$X$81,19,FALSE))=TRUE,VLOOKUP($AC$1*A40,Data!$C$2:$X$81,19,FALSE),0)+IF(ISNUMBER(VLOOKUP($AC$19*A40,Data!$C$2:$X$81,19,FALSE))=TRUE,VLOOKUP($AC$19*A40,Data!$C$2:$X$81,19,FALSE),0)+IF(ISNUMBER(VLOOKUP($V$19*A40,Data!$C$2:$X$81,19,FALSE))=TRUE,VLOOKUP($V$19*A40,Data!$C$2:$X$81,19,FALSE),0)+IF(ISNUMBER(VLOOKUP($O$19*A40,Data!$C$2:$X$81,19,FALSE))=TRUE,VLOOKUP($O$19*A40,Data!$C$2:$X$81,19,FALSE),0)+IF(ISNUMBER(VLOOKUP($H$19*A40,Data!$C$2:$X$81,19,FALSE))=TRUE,VLOOKUP($H$19*A40,Data!$C$2:$X$81,19,FALSE),0)+IF(ISNUMBER(VLOOKUP($A$19*A40,Data!$C$2:$X$81,19,FALSE))=TRUE,VLOOKUP($A$19*A40,Data!$C$2:$X$81,19,FALSE),0))</f>
        <v>85.919999999999987</v>
      </c>
      <c r="D52" s="12">
        <f t="shared" si="41"/>
        <v>5.5959999999999992</v>
      </c>
      <c r="E52">
        <f>(IF(ISNUMBER(VLOOKUP($V$1*A40,Data!$C$2:$X$81,5,FALSE))=TRUE,VLOOKUP($V$1*A40,Data!$C$2:$X$81,5,FALSE),0)+IF(ISNUMBER(VLOOKUP($AC$1*A40,Data!$C$2:$X$81,5,FALSE))=TRUE,VLOOKUP($AC$1*A40,Data!$C$2:$X$81,5,FALSE),0)+IF(ISNUMBER(VLOOKUP($AC$19*A40,Data!$C$2:$X$81,5,FALSE))=TRUE,VLOOKUP($AC$19*A40,Data!$C$2:$X$81,5,FALSE),0)+IF(ISNUMBER(VLOOKUP($V$19*A40,Data!$C$2:$X$81,5,FALSE))=TRUE,VLOOKUP($V$19*A40,Data!$C$2:$X$81,5,FALSE),0))</f>
        <v>8</v>
      </c>
      <c r="F52">
        <f>(IF(ISNUMBER(VLOOKUP($V$1*A40,Data!$C$2:$X$81,19,FALSE))=TRUE,VLOOKUP($V$1*A40,Data!$C$2:$X$81,19,FALSE),0)+IF(ISNUMBER(VLOOKUP($AC$1*A40,Data!$C$2:$X$81,19,FALSE))=TRUE,VLOOKUP($AC$1*A40,Data!$C$2:$X$81,19,FALSE),0)+IF(ISNUMBER(VLOOKUP($AC$19*A40,Data!$C$2:$X$81,19,FALSE))=TRUE,VLOOKUP($AC$19*A40,Data!$C$2:$X$81,19,FALSE),0)+IF(ISNUMBER(VLOOKUP($V$19*A40,Data!$C$2:$X$81,19,FALSE))=TRUE,VLOOKUP($V$19*A40,Data!$C$2:$X$81,19,FALSE),0))</f>
        <v>24.740000000000002</v>
      </c>
      <c r="G52" s="12">
        <f t="shared" si="42"/>
        <v>4.0925000000000002</v>
      </c>
      <c r="H52" s="12" t="e">
        <f>Entry!$A$24</f>
        <v>#N/A</v>
      </c>
    </row>
    <row r="53" spans="1:40" x14ac:dyDescent="0.3">
      <c r="A53">
        <v>3</v>
      </c>
      <c r="B53">
        <f>(IF(ISNUMBER(VLOOKUP($A$1*A41,Data!$C$2:$X$81,5,FALSE))=TRUE,VLOOKUP($A$1*A41,Data!$C$2:$X$81,5,FALSE),0)+ IF(ISNUMBER(VLOOKUP($H$1*A41,Data!$C$2:$X$81,5,FALSE))=TRUE,VLOOKUP($H$1*A41,Data!$C$2:$X$81,5,FALSE),0)+IF(ISNUMBER(VLOOKUP($O$1*A41,Data!$C$2:$X$81,5,FALSE))=TRUE,VLOOKUP($O$1*A41,Data!$C$2:$X$81,5,FALSE),0)+IF(ISNUMBER(VLOOKUP($V$1*A41,Data!$C$2:$X$81,5,FALSE))=TRUE,VLOOKUP($V$1*A41,Data!$C$2:$X$81,5,FALSE),0)+IF(ISNUMBER(VLOOKUP($AC$1*A41,Data!$C$2:$X$81,5,FALSE))=TRUE,VLOOKUP($AC$1*A41,Data!$C$2:$X$81,5,FALSE),0)+IF(ISNUMBER(VLOOKUP($AC$19*A41,Data!$C$2:$X$81,5,FALSE))=TRUE,VLOOKUP($AC$19*A41,Data!$C$2:$X$81,5,FALSE),0)+IF(ISNUMBER(VLOOKUP($V$19*A41,Data!$C$2:$X$81,5,FALSE))=TRUE,VLOOKUP($V$19*A41,Data!$C$2:$X$81,5,FALSE),0)+IF(ISNUMBER(VLOOKUP($O$19*A41,Data!$C$2:$X$81,5,FALSE))=TRUE,VLOOKUP($O$19*A41,Data!$C$2:$X$81,5,FALSE),0)+IF(ISNUMBER(VLOOKUP($H$19*A41,Data!$C$2:$X$81,5,FALSE))=TRUE,VLOOKUP($H$19*A41,Data!$C$2:$X$81,5,FALSE),0)+IF(ISNUMBER(VLOOKUP($A$19*A41,Data!$C$2:$X$81,5,FALSE))=TRUE,VLOOKUP($A$19*A41,Data!$C$2:$X$81,5,FALSE),0))</f>
        <v>27</v>
      </c>
      <c r="C53">
        <f>(IF(ISNUMBER(VLOOKUP($A$1*A41,Data!$C$2:$X$81,19,FALSE))=TRUE,VLOOKUP($A$1*A41,Data!$C$2:$X$81,19,FALSE),0)+ IF(ISNUMBER(VLOOKUP($H$1*A41,Data!$C$2:$X$81,19,FALSE))=TRUE,VLOOKUP($H$1*A41,Data!$C$2:$X$81,19,FALSE),0)+IF(ISNUMBER(VLOOKUP($O$1*A41,Data!$C$2:$X$81,19,FALSE))=TRUE,VLOOKUP($O$1*A41,Data!$C$2:$X$81,19,FALSE),0)+IF(ISNUMBER(VLOOKUP($V$1*A41,Data!$C$2:$X$81,19,FALSE))=TRUE,VLOOKUP($V$1*A41,Data!$C$2:$X$81,19,FALSE),0)+IF(ISNUMBER(VLOOKUP($AC$1*A41,Data!$C$2:$X$81,19,FALSE))=TRUE,VLOOKUP($AC$1*A41,Data!$C$2:$X$81,19,FALSE),0)+IF(ISNUMBER(VLOOKUP($AC$19*A41,Data!$C$2:$X$81,19,FALSE))=TRUE,VLOOKUP($AC$19*A41,Data!$C$2:$X$81,19,FALSE),0)+IF(ISNUMBER(VLOOKUP($V$19*A41,Data!$C$2:$X$81,19,FALSE))=TRUE,VLOOKUP($V$19*A41,Data!$C$2:$X$81,19,FALSE),0)+IF(ISNUMBER(VLOOKUP($O$19*A41,Data!$C$2:$X$81,19,FALSE))=TRUE,VLOOKUP($O$19*A41,Data!$C$2:$X$81,19,FALSE),0)+IF(ISNUMBER(VLOOKUP($H$19*A41,Data!$C$2:$X$81,19,FALSE))=TRUE,VLOOKUP($H$19*A41,Data!$C$2:$X$81,19,FALSE),0)+IF(ISNUMBER(VLOOKUP($A$19*A41,Data!$C$2:$X$81,19,FALSE))=TRUE,VLOOKUP($A$19*A41,Data!$C$2:$X$81,19,FALSE),0))</f>
        <v>81.63</v>
      </c>
      <c r="D53" s="12">
        <f t="shared" si="41"/>
        <v>5.4314999999999998</v>
      </c>
      <c r="E53">
        <f>(IF(ISNUMBER(VLOOKUP($V$1*A41,Data!$C$2:$X$81,5,FALSE))=TRUE,VLOOKUP($V$1*A41,Data!$C$2:$X$81,5,FALSE),0)+IF(ISNUMBER(VLOOKUP($AC$1*A41,Data!$C$2:$X$81,5,FALSE))=TRUE,VLOOKUP($AC$1*A41,Data!$C$2:$X$81,5,FALSE),0)+IF(ISNUMBER(VLOOKUP($AC$19*A41,Data!$C$2:$X$81,5,FALSE))=TRUE,VLOOKUP($AC$19*A41,Data!$C$2:$X$81,5,FALSE),0)+IF(ISNUMBER(VLOOKUP($V$19*A41,Data!$C$2:$X$81,5,FALSE))=TRUE,VLOOKUP($V$19*A41,Data!$C$2:$X$81,5,FALSE),0))</f>
        <v>9</v>
      </c>
      <c r="F53">
        <f>(IF(ISNUMBER(VLOOKUP($V$1*A41,Data!$C$2:$X$81,19,FALSE))=TRUE,VLOOKUP($V$1*A41,Data!$C$2:$X$81,19,FALSE),0)+IF(ISNUMBER(VLOOKUP($AC$1*A41,Data!$C$2:$X$81,19,FALSE))=TRUE,VLOOKUP($AC$1*A41,Data!$C$2:$X$81,19,FALSE),0)+IF(ISNUMBER(VLOOKUP($AC$19*A41,Data!$C$2:$X$81,19,FALSE))=TRUE,VLOOKUP($AC$19*A41,Data!$C$2:$X$81,19,FALSE),0)+IF(ISNUMBER(VLOOKUP($V$19*A41,Data!$C$2:$X$81,19,FALSE))=TRUE,VLOOKUP($V$19*A41,Data!$C$2:$X$81,19,FALSE),0))</f>
        <v>23.35</v>
      </c>
      <c r="G53" s="12">
        <f t="shared" si="42"/>
        <v>4.0437500000000002</v>
      </c>
      <c r="H53" s="12" t="e">
        <f>Entry!$A$24</f>
        <v>#N/A</v>
      </c>
    </row>
    <row r="54" spans="1:40" x14ac:dyDescent="0.3">
      <c r="A54">
        <v>4</v>
      </c>
      <c r="B54">
        <f>(IF(ISNUMBER(VLOOKUP($A$1*A42,Data!$C$2:$X$81,5,FALSE))=TRUE,VLOOKUP($A$1*A42,Data!$C$2:$X$81,5,FALSE),0)+ IF(ISNUMBER(VLOOKUP($H$1*A42,Data!$C$2:$X$81,5,FALSE))=TRUE,VLOOKUP($H$1*A42,Data!$C$2:$X$81,5,FALSE),0)+IF(ISNUMBER(VLOOKUP($O$1*A42,Data!$C$2:$X$81,5,FALSE))=TRUE,VLOOKUP($O$1*A42,Data!$C$2:$X$81,5,FALSE),0)+IF(ISNUMBER(VLOOKUP($V$1*A42,Data!$C$2:$X$81,5,FALSE))=TRUE,VLOOKUP($V$1*A42,Data!$C$2:$X$81,5,FALSE),0)+IF(ISNUMBER(VLOOKUP($AC$1*A42,Data!$C$2:$X$81,5,FALSE))=TRUE,VLOOKUP($AC$1*A42,Data!$C$2:$X$81,5,FALSE),0)+IF(ISNUMBER(VLOOKUP($AC$19*A42,Data!$C$2:$X$81,5,FALSE))=TRUE,VLOOKUP($AC$19*A42,Data!$C$2:$X$81,5,FALSE),0)+IF(ISNUMBER(VLOOKUP($V$19*A42,Data!$C$2:$X$81,5,FALSE))=TRUE,VLOOKUP($V$19*A42,Data!$C$2:$X$81,5,FALSE),0)+IF(ISNUMBER(VLOOKUP($O$19*A42,Data!$C$2:$X$81,5,FALSE))=TRUE,VLOOKUP($O$19*A42,Data!$C$2:$X$81,5,FALSE),0)+IF(ISNUMBER(VLOOKUP($H$19*A42,Data!$C$2:$X$81,5,FALSE))=TRUE,VLOOKUP($H$19*A42,Data!$C$2:$X$81,5,FALSE),0)+IF(ISNUMBER(VLOOKUP($A$19*A42,Data!$C$2:$X$81,5,FALSE))=TRUE,VLOOKUP($A$19*A42,Data!$C$2:$X$81,5,FALSE),0))</f>
        <v>20</v>
      </c>
      <c r="C54">
        <f>(IF(ISNUMBER(VLOOKUP($A$1*A42,Data!$C$2:$X$81,19,FALSE))=TRUE,VLOOKUP($A$1*A42,Data!$C$2:$X$81,19,FALSE),0)+ IF(ISNUMBER(VLOOKUP($H$1*A42,Data!$C$2:$X$81,19,FALSE))=TRUE,VLOOKUP($H$1*A42,Data!$C$2:$X$81,19,FALSE),0)+IF(ISNUMBER(VLOOKUP($O$1*A42,Data!$C$2:$X$81,19,FALSE))=TRUE,VLOOKUP($O$1*A42,Data!$C$2:$X$81,19,FALSE),0)+IF(ISNUMBER(VLOOKUP($V$1*A42,Data!$C$2:$X$81,19,FALSE))=TRUE,VLOOKUP($V$1*A42,Data!$C$2:$X$81,19,FALSE),0)+IF(ISNUMBER(VLOOKUP($AC$1*A42,Data!$C$2:$X$81,19,FALSE))=TRUE,VLOOKUP($AC$1*A42,Data!$C$2:$X$81,19,FALSE),0)+IF(ISNUMBER(VLOOKUP($AC$19*A42,Data!$C$2:$X$81,19,FALSE))=TRUE,VLOOKUP($AC$19*A42,Data!$C$2:$X$81,19,FALSE),0)+IF(ISNUMBER(VLOOKUP($V$19*A42,Data!$C$2:$X$81,19,FALSE))=TRUE,VLOOKUP($V$19*A42,Data!$C$2:$X$81,19,FALSE),0)+IF(ISNUMBER(VLOOKUP($O$19*A42,Data!$C$2:$X$81,19,FALSE))=TRUE,VLOOKUP($O$19*A42,Data!$C$2:$X$81,19,FALSE),0)+IF(ISNUMBER(VLOOKUP($H$19*A42,Data!$C$2:$X$81,19,FALSE))=TRUE,VLOOKUP($H$19*A42,Data!$C$2:$X$81,19,FALSE),0)+IF(ISNUMBER(VLOOKUP($A$19*A42,Data!$C$2:$X$81,19,FALSE))=TRUE,VLOOKUP($A$19*A42,Data!$C$2:$X$81,19,FALSE),0))</f>
        <v>65.88</v>
      </c>
      <c r="D54" s="12">
        <f t="shared" si="41"/>
        <v>4.2939999999999996</v>
      </c>
      <c r="E54">
        <f>(IF(ISNUMBER(VLOOKUP($V$1*A42,Data!$C$2:$X$81,5,FALSE))=TRUE,VLOOKUP($V$1*A42,Data!$C$2:$X$81,5,FALSE),0)+IF(ISNUMBER(VLOOKUP($AC$1*A42,Data!$C$2:$X$81,5,FALSE))=TRUE,VLOOKUP($AC$1*A42,Data!$C$2:$X$81,5,FALSE),0)+IF(ISNUMBER(VLOOKUP($AC$19*A42,Data!$C$2:$X$81,5,FALSE))=TRUE,VLOOKUP($AC$19*A42,Data!$C$2:$X$81,5,FALSE),0)+IF(ISNUMBER(VLOOKUP($V$19*A42,Data!$C$2:$X$81,5,FALSE))=TRUE,VLOOKUP($V$19*A42,Data!$C$2:$X$81,5,FALSE),0))</f>
        <v>9</v>
      </c>
      <c r="F54">
        <f>(IF(ISNUMBER(VLOOKUP($V$1*A42,Data!$C$2:$X$81,19,FALSE))=TRUE,VLOOKUP($V$1*A42,Data!$C$2:$X$81,19,FALSE),0)+IF(ISNUMBER(VLOOKUP($AC$1*A42,Data!$C$2:$X$81,19,FALSE))=TRUE,VLOOKUP($AC$1*A42,Data!$C$2:$X$81,19,FALSE),0)+IF(ISNUMBER(VLOOKUP($AC$19*A42,Data!$C$2:$X$81,19,FALSE))=TRUE,VLOOKUP($AC$19*A42,Data!$C$2:$X$81,19,FALSE),0)+IF(ISNUMBER(VLOOKUP($V$19*A42,Data!$C$2:$X$81,19,FALSE))=TRUE,VLOOKUP($V$19*A42,Data!$C$2:$X$81,19,FALSE),0))</f>
        <v>23.35</v>
      </c>
      <c r="G54" s="12">
        <f t="shared" si="42"/>
        <v>4.0437500000000002</v>
      </c>
      <c r="H54" s="12" t="e">
        <f>Entry!$A$24</f>
        <v>#N/A</v>
      </c>
    </row>
    <row r="55" spans="1:40" x14ac:dyDescent="0.3">
      <c r="A55">
        <v>5</v>
      </c>
      <c r="B55">
        <f>(IF(ISNUMBER(VLOOKUP($A$1*A43,Data!$C$2:$X$81,5,FALSE))=TRUE,VLOOKUP($A$1*A43,Data!$C$2:$X$81,5,FALSE),0)+ IF(ISNUMBER(VLOOKUP($H$1*A43,Data!$C$2:$X$81,5,FALSE))=TRUE,VLOOKUP($H$1*A43,Data!$C$2:$X$81,5,FALSE),0)+IF(ISNUMBER(VLOOKUP($O$1*A43,Data!$C$2:$X$81,5,FALSE))=TRUE,VLOOKUP($O$1*A43,Data!$C$2:$X$81,5,FALSE),0)+IF(ISNUMBER(VLOOKUP($V$1*A43,Data!$C$2:$X$81,5,FALSE))=TRUE,VLOOKUP($V$1*A43,Data!$C$2:$X$81,5,FALSE),0)+IF(ISNUMBER(VLOOKUP($AC$1*A43,Data!$C$2:$X$81,5,FALSE))=TRUE,VLOOKUP($AC$1*A43,Data!$C$2:$X$81,5,FALSE),0)+IF(ISNUMBER(VLOOKUP($AC$19*A43,Data!$C$2:$X$81,5,FALSE))=TRUE,VLOOKUP($AC$19*A43,Data!$C$2:$X$81,5,FALSE),0)+IF(ISNUMBER(VLOOKUP($V$19*A43,Data!$C$2:$X$81,5,FALSE))=TRUE,VLOOKUP($V$19*A43,Data!$C$2:$X$81,5,FALSE),0)+IF(ISNUMBER(VLOOKUP($O$19*A43,Data!$C$2:$X$81,5,FALSE))=TRUE,VLOOKUP($O$19*A43,Data!$C$2:$X$81,5,FALSE),0)+IF(ISNUMBER(VLOOKUP($H$19*A43,Data!$C$2:$X$81,5,FALSE))=TRUE,VLOOKUP($H$19*A43,Data!$C$2:$X$81,5,FALSE),0)+IF(ISNUMBER(VLOOKUP($A$19*A43,Data!$C$2:$X$81,5,FALSE))=TRUE,VLOOKUP($A$19*A43,Data!$C$2:$X$81,5,FALSE),0))</f>
        <v>20</v>
      </c>
      <c r="C55">
        <f>(IF(ISNUMBER(VLOOKUP($A$1*A43,Data!$C$2:$X$81,19,FALSE))=TRUE,VLOOKUP($A$1*A43,Data!$C$2:$X$81,19,FALSE),0)+ IF(ISNUMBER(VLOOKUP($H$1*A43,Data!$C$2:$X$81,19,FALSE))=TRUE,VLOOKUP($H$1*A43,Data!$C$2:$X$81,19,FALSE),0)+IF(ISNUMBER(VLOOKUP($O$1*A43,Data!$C$2:$X$81,19,FALSE))=TRUE,VLOOKUP($O$1*A43,Data!$C$2:$X$81,19,FALSE),0)+IF(ISNUMBER(VLOOKUP($V$1*A43,Data!$C$2:$X$81,19,FALSE))=TRUE,VLOOKUP($V$1*A43,Data!$C$2:$X$81,19,FALSE),0)+IF(ISNUMBER(VLOOKUP($AC$1*A43,Data!$C$2:$X$81,19,FALSE))=TRUE,VLOOKUP($AC$1*A43,Data!$C$2:$X$81,19,FALSE),0)+IF(ISNUMBER(VLOOKUP($AC$19*A43,Data!$C$2:$X$81,19,FALSE))=TRUE,VLOOKUP($AC$19*A43,Data!$C$2:$X$81,19,FALSE),0)+IF(ISNUMBER(VLOOKUP($V$19*A43,Data!$C$2:$X$81,19,FALSE))=TRUE,VLOOKUP($V$19*A43,Data!$C$2:$X$81,19,FALSE),0)+IF(ISNUMBER(VLOOKUP($O$19*A43,Data!$C$2:$X$81,19,FALSE))=TRUE,VLOOKUP($O$19*A43,Data!$C$2:$X$81,19,FALSE),0)+IF(ISNUMBER(VLOOKUP($H$19*A43,Data!$C$2:$X$81,19,FALSE))=TRUE,VLOOKUP($H$19*A43,Data!$C$2:$X$81,19,FALSE),0)+IF(ISNUMBER(VLOOKUP($A$19*A43,Data!$C$2:$X$81,19,FALSE))=TRUE,VLOOKUP($A$19*A43,Data!$C$2:$X$81,19,FALSE),0))</f>
        <v>65.88</v>
      </c>
      <c r="D55" s="12">
        <f t="shared" si="41"/>
        <v>4.2939999999999996</v>
      </c>
      <c r="E55">
        <f>(IF(ISNUMBER(VLOOKUP($V$1*A43,Data!$C$2:$X$81,5,FALSE))=TRUE,VLOOKUP($V$1*A43,Data!$C$2:$X$81,5,FALSE),0)+IF(ISNUMBER(VLOOKUP($AC$1*A43,Data!$C$2:$X$81,5,FALSE))=TRUE,VLOOKUP($AC$1*A43,Data!$C$2:$X$81,5,FALSE),0)+IF(ISNUMBER(VLOOKUP($AC$19*A43,Data!$C$2:$X$81,5,FALSE))=TRUE,VLOOKUP($AC$19*A43,Data!$C$2:$X$81,5,FALSE),0)+IF(ISNUMBER(VLOOKUP($V$19*A43,Data!$C$2:$X$81,5,FALSE))=TRUE,VLOOKUP($V$19*A43,Data!$C$2:$X$81,5,FALSE),0))</f>
        <v>9</v>
      </c>
      <c r="F55">
        <f>(IF(ISNUMBER(VLOOKUP($V$1*A43,Data!$C$2:$X$81,19,FALSE))=TRUE,VLOOKUP($V$1*A43,Data!$C$2:$X$81,19,FALSE),0)+IF(ISNUMBER(VLOOKUP($AC$1*A43,Data!$C$2:$X$81,19,FALSE))=TRUE,VLOOKUP($AC$1*A43,Data!$C$2:$X$81,19,FALSE),0)+IF(ISNUMBER(VLOOKUP($AC$19*A43,Data!$C$2:$X$81,19,FALSE))=TRUE,VLOOKUP($AC$19*A43,Data!$C$2:$X$81,19,FALSE),0)+IF(ISNUMBER(VLOOKUP($V$19*A43,Data!$C$2:$X$81,19,FALSE))=TRUE,VLOOKUP($V$19*A43,Data!$C$2:$X$81,19,FALSE),0))</f>
        <v>23.35</v>
      </c>
      <c r="G55" s="12">
        <f t="shared" si="42"/>
        <v>4.0437500000000002</v>
      </c>
      <c r="H55" s="12" t="e">
        <f>Entry!$A$24</f>
        <v>#N/A</v>
      </c>
    </row>
    <row r="56" spans="1:40" x14ac:dyDescent="0.3">
      <c r="A56">
        <v>6</v>
      </c>
      <c r="B56">
        <f>(IF(ISNUMBER(VLOOKUP($A$1*A44,Data!$C$2:$X$81,5,FALSE))=TRUE,VLOOKUP($A$1*A44,Data!$C$2:$X$81,5,FALSE),0)+ IF(ISNUMBER(VLOOKUP($H$1*A44,Data!$C$2:$X$81,5,FALSE))=TRUE,VLOOKUP($H$1*A44,Data!$C$2:$X$81,5,FALSE),0)+IF(ISNUMBER(VLOOKUP($O$1*A44,Data!$C$2:$X$81,5,FALSE))=TRUE,VLOOKUP($O$1*A44,Data!$C$2:$X$81,5,FALSE),0)+IF(ISNUMBER(VLOOKUP($V$1*A44,Data!$C$2:$X$81,5,FALSE))=TRUE,VLOOKUP($V$1*A44,Data!$C$2:$X$81,5,FALSE),0)+IF(ISNUMBER(VLOOKUP($AC$1*A44,Data!$C$2:$X$81,5,FALSE))=TRUE,VLOOKUP($AC$1*A44,Data!$C$2:$X$81,5,FALSE),0)+IF(ISNUMBER(VLOOKUP($AC$19*A44,Data!$C$2:$X$81,5,FALSE))=TRUE,VLOOKUP($AC$19*A44,Data!$C$2:$X$81,5,FALSE),0)+IF(ISNUMBER(VLOOKUP($V$19*A44,Data!$C$2:$X$81,5,FALSE))=TRUE,VLOOKUP($V$19*A44,Data!$C$2:$X$81,5,FALSE),0)+IF(ISNUMBER(VLOOKUP($O$19*A44,Data!$C$2:$X$81,5,FALSE))=TRUE,VLOOKUP($O$19*A44,Data!$C$2:$X$81,5,FALSE),0)+IF(ISNUMBER(VLOOKUP($H$19*A44,Data!$C$2:$X$81,5,FALSE))=TRUE,VLOOKUP($H$19*A44,Data!$C$2:$X$81,5,FALSE),0)+IF(ISNUMBER(VLOOKUP($A$19*A44,Data!$C$2:$X$81,5,FALSE))=TRUE,VLOOKUP($A$19*A44,Data!$C$2:$X$81,5,FALSE),0))</f>
        <v>20</v>
      </c>
      <c r="C56">
        <f>(IF(ISNUMBER(VLOOKUP($A$1*A44,Data!$C$2:$X$81,19,FALSE))=TRUE,VLOOKUP($A$1*A44,Data!$C$2:$X$81,19,FALSE),0)+ IF(ISNUMBER(VLOOKUP($H$1*A44,Data!$C$2:$X$81,19,FALSE))=TRUE,VLOOKUP($H$1*A44,Data!$C$2:$X$81,19,FALSE),0)+IF(ISNUMBER(VLOOKUP($O$1*A44,Data!$C$2:$X$81,19,FALSE))=TRUE,VLOOKUP($O$1*A44,Data!$C$2:$X$81,19,FALSE),0)+IF(ISNUMBER(VLOOKUP($V$1*A44,Data!$C$2:$X$81,19,FALSE))=TRUE,VLOOKUP($V$1*A44,Data!$C$2:$X$81,19,FALSE),0)+IF(ISNUMBER(VLOOKUP($AC$1*A44,Data!$C$2:$X$81,19,FALSE))=TRUE,VLOOKUP($AC$1*A44,Data!$C$2:$X$81,19,FALSE),0)+IF(ISNUMBER(VLOOKUP($AC$19*A44,Data!$C$2:$X$81,19,FALSE))=TRUE,VLOOKUP($AC$19*A44,Data!$C$2:$X$81,19,FALSE),0)+IF(ISNUMBER(VLOOKUP($V$19*A44,Data!$C$2:$X$81,19,FALSE))=TRUE,VLOOKUP($V$19*A44,Data!$C$2:$X$81,19,FALSE),0)+IF(ISNUMBER(VLOOKUP($O$19*A44,Data!$C$2:$X$81,19,FALSE))=TRUE,VLOOKUP($O$19*A44,Data!$C$2:$X$81,19,FALSE),0)+IF(ISNUMBER(VLOOKUP($H$19*A44,Data!$C$2:$X$81,19,FALSE))=TRUE,VLOOKUP($H$19*A44,Data!$C$2:$X$81,19,FALSE),0)+IF(ISNUMBER(VLOOKUP($A$19*A44,Data!$C$2:$X$81,19,FALSE))=TRUE,VLOOKUP($A$19*A44,Data!$C$2:$X$81,19,FALSE),0))</f>
        <v>65.88</v>
      </c>
      <c r="D56" s="12">
        <f t="shared" si="41"/>
        <v>4.2939999999999996</v>
      </c>
      <c r="E56">
        <f>(IF(ISNUMBER(VLOOKUP($V$1*A44,Data!$C$2:$X$81,5,FALSE))=TRUE,VLOOKUP($V$1*A44,Data!$C$2:$X$81,5,FALSE),0)+IF(ISNUMBER(VLOOKUP($AC$1*A44,Data!$C$2:$X$81,5,FALSE))=TRUE,VLOOKUP($AC$1*A44,Data!$C$2:$X$81,5,FALSE),0)+IF(ISNUMBER(VLOOKUP($AC$19*A44,Data!$C$2:$X$81,5,FALSE))=TRUE,VLOOKUP($AC$19*A44,Data!$C$2:$X$81,5,FALSE),0)+IF(ISNUMBER(VLOOKUP($V$19*A44,Data!$C$2:$X$81,5,FALSE))=TRUE,VLOOKUP($V$19*A44,Data!$C$2:$X$81,5,FALSE),0))</f>
        <v>9</v>
      </c>
      <c r="F56">
        <f>(IF(ISNUMBER(VLOOKUP($V$1*A44,Data!$C$2:$X$81,19,FALSE))=TRUE,VLOOKUP($V$1*A44,Data!$C$2:$X$81,19,FALSE),0)+IF(ISNUMBER(VLOOKUP($AC$1*A44,Data!$C$2:$X$81,19,FALSE))=TRUE,VLOOKUP($AC$1*A44,Data!$C$2:$X$81,19,FALSE),0)+IF(ISNUMBER(VLOOKUP($AC$19*A44,Data!$C$2:$X$81,19,FALSE))=TRUE,VLOOKUP($AC$19*A44,Data!$C$2:$X$81,19,FALSE),0)+IF(ISNUMBER(VLOOKUP($V$19*A44,Data!$C$2:$X$81,19,FALSE))=TRUE,VLOOKUP($V$19*A44,Data!$C$2:$X$81,19,FALSE),0))</f>
        <v>23.35</v>
      </c>
      <c r="G56" s="12">
        <f t="shared" si="42"/>
        <v>4.0437500000000002</v>
      </c>
      <c r="H56" s="12" t="e">
        <f>Entry!$A$24</f>
        <v>#N/A</v>
      </c>
    </row>
    <row r="57" spans="1:40" x14ac:dyDescent="0.3">
      <c r="A57">
        <v>7</v>
      </c>
      <c r="B57">
        <f>(IF(ISNUMBER(VLOOKUP($A$1*A45,Data!$C$2:$X$81,5,FALSE))=TRUE,VLOOKUP($A$1*A45,Data!$C$2:$X$81,5,FALSE),0)+ IF(ISNUMBER(VLOOKUP($H$1*A45,Data!$C$2:$X$81,5,FALSE))=TRUE,VLOOKUP($H$1*A45,Data!$C$2:$X$81,5,FALSE),0)+IF(ISNUMBER(VLOOKUP($O$1*A45,Data!$C$2:$X$81,5,FALSE))=TRUE,VLOOKUP($O$1*A45,Data!$C$2:$X$81,5,FALSE),0)+IF(ISNUMBER(VLOOKUP($V$1*A45,Data!$C$2:$X$81,5,FALSE))=TRUE,VLOOKUP($V$1*A45,Data!$C$2:$X$81,5,FALSE),0)+IF(ISNUMBER(VLOOKUP($AC$1*A45,Data!$C$2:$X$81,5,FALSE))=TRUE,VLOOKUP($AC$1*A45,Data!$C$2:$X$81,5,FALSE),0)+IF(ISNUMBER(VLOOKUP($AC$19*A45,Data!$C$2:$X$81,5,FALSE))=TRUE,VLOOKUP($AC$19*A45,Data!$C$2:$X$81,5,FALSE),0)+IF(ISNUMBER(VLOOKUP($V$19*A45,Data!$C$2:$X$81,5,FALSE))=TRUE,VLOOKUP($V$19*A45,Data!$C$2:$X$81,5,FALSE),0)+IF(ISNUMBER(VLOOKUP($O$19*A45,Data!$C$2:$X$81,5,FALSE))=TRUE,VLOOKUP($O$19*A45,Data!$C$2:$X$81,5,FALSE),0)+IF(ISNUMBER(VLOOKUP($H$19*A45,Data!$C$2:$X$81,5,FALSE))=TRUE,VLOOKUP($H$19*A45,Data!$C$2:$X$81,5,FALSE),0)+IF(ISNUMBER(VLOOKUP($A$19*A45,Data!$C$2:$X$81,5,FALSE))=TRUE,VLOOKUP($A$19*A45,Data!$C$2:$X$81,5,FALSE),0))</f>
        <v>20</v>
      </c>
      <c r="C57">
        <f>(IF(ISNUMBER(VLOOKUP($A$1*A45,Data!$C$2:$X$81,19,FALSE))=TRUE,VLOOKUP($A$1*A45,Data!$C$2:$X$81,19,FALSE),0)+ IF(ISNUMBER(VLOOKUP($H$1*A45,Data!$C$2:$X$81,19,FALSE))=TRUE,VLOOKUP($H$1*A45,Data!$C$2:$X$81,19,FALSE),0)+IF(ISNUMBER(VLOOKUP($O$1*A45,Data!$C$2:$X$81,19,FALSE))=TRUE,VLOOKUP($O$1*A45,Data!$C$2:$X$81,19,FALSE),0)+IF(ISNUMBER(VLOOKUP($V$1*A45,Data!$C$2:$X$81,19,FALSE))=TRUE,VLOOKUP($V$1*A45,Data!$C$2:$X$81,19,FALSE),0)+IF(ISNUMBER(VLOOKUP($AC$1*A45,Data!$C$2:$X$81,19,FALSE))=TRUE,VLOOKUP($AC$1*A45,Data!$C$2:$X$81,19,FALSE),0)+IF(ISNUMBER(VLOOKUP($AC$19*A45,Data!$C$2:$X$81,19,FALSE))=TRUE,VLOOKUP($AC$19*A45,Data!$C$2:$X$81,19,FALSE),0)+IF(ISNUMBER(VLOOKUP($V$19*A45,Data!$C$2:$X$81,19,FALSE))=TRUE,VLOOKUP($V$19*A45,Data!$C$2:$X$81,19,FALSE),0)+IF(ISNUMBER(VLOOKUP($O$19*A45,Data!$C$2:$X$81,19,FALSE))=TRUE,VLOOKUP($O$19*A45,Data!$C$2:$X$81,19,FALSE),0)+IF(ISNUMBER(VLOOKUP($H$19*A45,Data!$C$2:$X$81,19,FALSE))=TRUE,VLOOKUP($H$19*A45,Data!$C$2:$X$81,19,FALSE),0)+IF(ISNUMBER(VLOOKUP($A$19*A45,Data!$C$2:$X$81,19,FALSE))=TRUE,VLOOKUP($A$19*A45,Data!$C$2:$X$81,19,FALSE),0))</f>
        <v>65.88</v>
      </c>
      <c r="D57" s="12">
        <f t="shared" si="41"/>
        <v>4.2939999999999996</v>
      </c>
      <c r="E57">
        <f>(IF(ISNUMBER(VLOOKUP($V$1*A45,Data!$C$2:$X$81,5,FALSE))=TRUE,VLOOKUP($V$1*A45,Data!$C$2:$X$81,5,FALSE),0)+IF(ISNUMBER(VLOOKUP($AC$1*A45,Data!$C$2:$X$81,5,FALSE))=TRUE,VLOOKUP($AC$1*A45,Data!$C$2:$X$81,5,FALSE),0)+IF(ISNUMBER(VLOOKUP($AC$19*A45,Data!$C$2:$X$81,5,FALSE))=TRUE,VLOOKUP($AC$19*A45,Data!$C$2:$X$81,5,FALSE),0)+IF(ISNUMBER(VLOOKUP($V$19*A45,Data!$C$2:$X$81,5,FALSE))=TRUE,VLOOKUP($V$19*A45,Data!$C$2:$X$81,5,FALSE),0))</f>
        <v>9</v>
      </c>
      <c r="F57">
        <f>(IF(ISNUMBER(VLOOKUP($V$1*A45,Data!$C$2:$X$81,19,FALSE))=TRUE,VLOOKUP($V$1*A45,Data!$C$2:$X$81,19,FALSE),0)+IF(ISNUMBER(VLOOKUP($AC$1*A45,Data!$C$2:$X$81,19,FALSE))=TRUE,VLOOKUP($AC$1*A45,Data!$C$2:$X$81,19,FALSE),0)+IF(ISNUMBER(VLOOKUP($AC$19*A45,Data!$C$2:$X$81,19,FALSE))=TRUE,VLOOKUP($AC$19*A45,Data!$C$2:$X$81,19,FALSE),0)+IF(ISNUMBER(VLOOKUP($V$19*A45,Data!$C$2:$X$81,19,FALSE))=TRUE,VLOOKUP($V$19*A45,Data!$C$2:$X$81,19,FALSE),0))</f>
        <v>23.35</v>
      </c>
      <c r="G57" s="12">
        <f t="shared" si="42"/>
        <v>4.0437500000000002</v>
      </c>
      <c r="H57" s="12" t="e">
        <f>Entry!$A$24</f>
        <v>#N/A</v>
      </c>
    </row>
    <row r="58" spans="1:40" x14ac:dyDescent="0.3">
      <c r="A58">
        <v>8</v>
      </c>
      <c r="B58">
        <f>(IF(ISNUMBER(VLOOKUP($A$1*A46,Data!$C$2:$X$81,5,FALSE))=TRUE,VLOOKUP($A$1*A46,Data!$C$2:$X$81,5,FALSE),0)+ IF(ISNUMBER(VLOOKUP($H$1*A46,Data!$C$2:$X$81,5,FALSE))=TRUE,VLOOKUP($H$1*A46,Data!$C$2:$X$81,5,FALSE),0)+IF(ISNUMBER(VLOOKUP($O$1*A46,Data!$C$2:$X$81,5,FALSE))=TRUE,VLOOKUP($O$1*A46,Data!$C$2:$X$81,5,FALSE),0)+IF(ISNUMBER(VLOOKUP($V$1*A46,Data!$C$2:$X$81,5,FALSE))=TRUE,VLOOKUP($V$1*A46,Data!$C$2:$X$81,5,FALSE),0)+IF(ISNUMBER(VLOOKUP($AC$1*A46,Data!$C$2:$X$81,5,FALSE))=TRUE,VLOOKUP($AC$1*A46,Data!$C$2:$X$81,5,FALSE),0)+IF(ISNUMBER(VLOOKUP($AC$19*A46,Data!$C$2:$X$81,5,FALSE))=TRUE,VLOOKUP($AC$19*A46,Data!$C$2:$X$81,5,FALSE),0)+IF(ISNUMBER(VLOOKUP($V$19*A46,Data!$C$2:$X$81,5,FALSE))=TRUE,VLOOKUP($V$19*A46,Data!$C$2:$X$81,5,FALSE),0)+IF(ISNUMBER(VLOOKUP($O$19*A46,Data!$C$2:$X$81,5,FALSE))=TRUE,VLOOKUP($O$19*A46,Data!$C$2:$X$81,5,FALSE),0)+IF(ISNUMBER(VLOOKUP($H$19*A46,Data!$C$2:$X$81,5,FALSE))=TRUE,VLOOKUP($H$19*A46,Data!$C$2:$X$81,5,FALSE),0)+IF(ISNUMBER(VLOOKUP($A$19*A46,Data!$C$2:$X$81,5,FALSE))=TRUE,VLOOKUP($A$19*A46,Data!$C$2:$X$81,5,FALSE),0))</f>
        <v>19</v>
      </c>
      <c r="C58">
        <f>(IF(ISNUMBER(VLOOKUP($A$1*A46,Data!$C$2:$X$81,19,FALSE))=TRUE,VLOOKUP($A$1*A46,Data!$C$2:$X$81,19,FALSE),0)+ IF(ISNUMBER(VLOOKUP($H$1*A46,Data!$C$2:$X$81,19,FALSE))=TRUE,VLOOKUP($H$1*A46,Data!$C$2:$X$81,19,FALSE),0)+IF(ISNUMBER(VLOOKUP($O$1*A46,Data!$C$2:$X$81,19,FALSE))=TRUE,VLOOKUP($O$1*A46,Data!$C$2:$X$81,19,FALSE),0)+IF(ISNUMBER(VLOOKUP($V$1*A46,Data!$C$2:$X$81,19,FALSE))=TRUE,VLOOKUP($V$1*A46,Data!$C$2:$X$81,19,FALSE),0)+IF(ISNUMBER(VLOOKUP($AC$1*A46,Data!$C$2:$X$81,19,FALSE))=TRUE,VLOOKUP($AC$1*A46,Data!$C$2:$X$81,19,FALSE),0)+IF(ISNUMBER(VLOOKUP($AC$19*A46,Data!$C$2:$X$81,19,FALSE))=TRUE,VLOOKUP($AC$19*A46,Data!$C$2:$X$81,19,FALSE),0)+IF(ISNUMBER(VLOOKUP($V$19*A46,Data!$C$2:$X$81,19,FALSE))=TRUE,VLOOKUP($V$19*A46,Data!$C$2:$X$81,19,FALSE),0)+IF(ISNUMBER(VLOOKUP($O$19*A46,Data!$C$2:$X$81,19,FALSE))=TRUE,VLOOKUP($O$19*A46,Data!$C$2:$X$81,19,FALSE),0)+IF(ISNUMBER(VLOOKUP($H$19*A46,Data!$C$2:$X$81,19,FALSE))=TRUE,VLOOKUP($H$19*A46,Data!$C$2:$X$81,19,FALSE),0)+IF(ISNUMBER(VLOOKUP($A$19*A46,Data!$C$2:$X$81,19,FALSE))=TRUE,VLOOKUP($A$19*A46,Data!$C$2:$X$81,19,FALSE),0))</f>
        <v>69.02</v>
      </c>
      <c r="D58" s="12">
        <f t="shared" si="41"/>
        <v>4.4009999999999998</v>
      </c>
      <c r="E58">
        <f>(IF(ISNUMBER(VLOOKUP($V$1*A46,Data!$C$2:$X$81,5,FALSE))=TRUE,VLOOKUP($V$1*A46,Data!$C$2:$X$81,5,FALSE),0)+IF(ISNUMBER(VLOOKUP($AC$1*A46,Data!$C$2:$X$81,5,FALSE))=TRUE,VLOOKUP($AC$1*A46,Data!$C$2:$X$81,5,FALSE),0)+IF(ISNUMBER(VLOOKUP($AC$19*A46,Data!$C$2:$X$81,5,FALSE))=TRUE,VLOOKUP($AC$19*A46,Data!$C$2:$X$81,5,FALSE),0)+IF(ISNUMBER(VLOOKUP($V$19*A46,Data!$C$2:$X$81,5,FALSE))=TRUE,VLOOKUP($V$19*A46,Data!$C$2:$X$81,5,FALSE),0))</f>
        <v>8</v>
      </c>
      <c r="F58">
        <f>(IF(ISNUMBER(VLOOKUP($V$1*A46,Data!$C$2:$X$81,19,FALSE))=TRUE,VLOOKUP($V$1*A46,Data!$C$2:$X$81,19,FALSE),0)+IF(ISNUMBER(VLOOKUP($AC$1*A46,Data!$C$2:$X$81,19,FALSE))=TRUE,VLOOKUP($AC$1*A46,Data!$C$2:$X$81,19,FALSE),0)+IF(ISNUMBER(VLOOKUP($AC$19*A46,Data!$C$2:$X$81,19,FALSE))=TRUE,VLOOKUP($AC$19*A46,Data!$C$2:$X$81,19,FALSE),0)+IF(ISNUMBER(VLOOKUP($V$19*A46,Data!$C$2:$X$81,19,FALSE))=TRUE,VLOOKUP($V$19*A46,Data!$C$2:$X$81,19,FALSE),0))</f>
        <v>24.740000000000002</v>
      </c>
      <c r="G58" s="12">
        <f t="shared" si="42"/>
        <v>4.0925000000000002</v>
      </c>
      <c r="H58" s="12" t="e">
        <f>Entry!$A$24</f>
        <v>#N/A</v>
      </c>
    </row>
    <row r="59" spans="1:40" x14ac:dyDescent="0.3">
      <c r="D59" s="12">
        <f>MAX(D51:D58)-MIN(D51:D58)</f>
        <v>5.5959999999999992</v>
      </c>
      <c r="G59" s="12">
        <f>MAX(G51:G58)-MIN(G51:G58)</f>
        <v>4.0925000000000002</v>
      </c>
      <c r="H59" s="12" t="e">
        <f>MAX(H51:H58)-MIN(H51:H58)</f>
        <v>#N/A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C33"/>
  <sheetViews>
    <sheetView zoomScale="70" zoomScaleNormal="70" zoomScaleSheetLayoutView="80" workbookViewId="0">
      <selection activeCell="B29" sqref="B29"/>
    </sheetView>
  </sheetViews>
  <sheetFormatPr defaultRowHeight="14.4" x14ac:dyDescent="0.3"/>
  <cols>
    <col min="17" max="17" width="14.88671875" style="28" bestFit="1" customWidth="1"/>
    <col min="18" max="18" width="15.33203125" style="28" bestFit="1" customWidth="1"/>
    <col min="19" max="19" width="11.33203125" style="28" customWidth="1"/>
    <col min="21" max="21" width="7.6640625" style="28" customWidth="1"/>
    <col min="23" max="23" width="10" style="28" bestFit="1" customWidth="1"/>
  </cols>
  <sheetData>
    <row r="1" spans="3:29" x14ac:dyDescent="0.3">
      <c r="P1" s="38"/>
      <c r="Q1" s="38" t="s">
        <v>68</v>
      </c>
      <c r="R1" s="38" t="s">
        <v>69</v>
      </c>
      <c r="S1" s="38" t="s">
        <v>70</v>
      </c>
      <c r="T1" s="38" t="s">
        <v>71</v>
      </c>
      <c r="U1" s="38"/>
    </row>
    <row r="2" spans="3:29" x14ac:dyDescent="0.3">
      <c r="P2" s="38">
        <v>1</v>
      </c>
      <c r="Q2" s="39">
        <f>(Info!AE2-Info!AE3)/100000</f>
        <v>-186.92675</v>
      </c>
      <c r="R2" s="39">
        <f>(Info!AD2-Info!AD3)/100000</f>
        <v>-77.22</v>
      </c>
      <c r="S2" s="36">
        <f>((R2-Q2)*100000)/(Info!AE3-Info!AD3)</f>
        <v>1</v>
      </c>
      <c r="T2" s="38">
        <v>9</v>
      </c>
      <c r="U2" s="38">
        <f t="shared" ref="U2:U8" si="0">IF(S2&lt;0,-1,1)</f>
        <v>1</v>
      </c>
      <c r="V2" s="13">
        <f t="shared" ref="V2:V8" si="1">IF(U2&gt;0,U2*T2,0)</f>
        <v>9</v>
      </c>
      <c r="W2">
        <f>(Info!AE2-Info!AD2)</f>
        <v>0</v>
      </c>
      <c r="X2">
        <f t="shared" ref="X2:X8" si="2">S2*V2</f>
        <v>9</v>
      </c>
      <c r="Y2">
        <f t="shared" ref="Y2:Y8" si="3">S2*IF(U2&lt;0,T2,0)</f>
        <v>0</v>
      </c>
    </row>
    <row r="3" spans="3:29" x14ac:dyDescent="0.3">
      <c r="P3" s="38">
        <v>2</v>
      </c>
      <c r="Q3" s="39">
        <f>(Info!AE3-Info!AE4)/100000</f>
        <v>-0.316</v>
      </c>
      <c r="R3" s="39">
        <f>(Info!AD3-Info!AD4)/100000</f>
        <v>-12.39725</v>
      </c>
      <c r="S3" s="36">
        <f>((R3-Q3)*100000)/(Info!AE4-Info!AD4)</f>
        <v>-0.12375096670439588</v>
      </c>
      <c r="T3" s="38">
        <v>7.5</v>
      </c>
      <c r="U3" s="38">
        <f t="shared" si="0"/>
        <v>-1</v>
      </c>
      <c r="V3" s="13">
        <f t="shared" si="1"/>
        <v>0</v>
      </c>
      <c r="W3">
        <f>(Info!AE3-Info!AD3)</f>
        <v>10970675</v>
      </c>
      <c r="X3">
        <f t="shared" si="2"/>
        <v>0</v>
      </c>
      <c r="Y3">
        <f t="shared" si="3"/>
        <v>-0.92813225028296908</v>
      </c>
    </row>
    <row r="4" spans="3:29" x14ac:dyDescent="0.3">
      <c r="P4" s="38">
        <v>3</v>
      </c>
      <c r="Q4" s="39">
        <f>(Info!AE4-Info!AE5)/100000</f>
        <v>0</v>
      </c>
      <c r="R4" s="39">
        <f>(Info!AD4-Info!AD5)/100000</f>
        <v>0</v>
      </c>
      <c r="S4" s="36">
        <f>((R4-Q4)*100000)/(Info!AE5-Info!AD5)</f>
        <v>0</v>
      </c>
      <c r="T4" s="38">
        <v>6.125</v>
      </c>
      <c r="U4" s="38">
        <f t="shared" si="0"/>
        <v>1</v>
      </c>
      <c r="V4" s="13">
        <f t="shared" si="1"/>
        <v>6.125</v>
      </c>
      <c r="W4">
        <f>(Info!AE4-Info!AD4)</f>
        <v>9762550</v>
      </c>
      <c r="X4">
        <f t="shared" si="2"/>
        <v>0</v>
      </c>
      <c r="Y4">
        <f t="shared" si="3"/>
        <v>0</v>
      </c>
    </row>
    <row r="5" spans="3:29" x14ac:dyDescent="0.3">
      <c r="P5" s="38">
        <v>4</v>
      </c>
      <c r="Q5" s="39">
        <f>(Info!AE5-Info!AE6)/100000</f>
        <v>30.276250000000001</v>
      </c>
      <c r="R5" s="39">
        <f>(Info!AD5-Info!AD6)/100000</f>
        <v>-21.985749999999999</v>
      </c>
      <c r="S5" s="36">
        <f>((R5-Q5)*100000)/(Info!AE6-Info!AD6)</f>
        <v>-1.1520715994136255</v>
      </c>
      <c r="T5" s="38">
        <v>5</v>
      </c>
      <c r="U5" s="38">
        <f t="shared" si="0"/>
        <v>-1</v>
      </c>
      <c r="V5" s="13">
        <f t="shared" si="1"/>
        <v>0</v>
      </c>
      <c r="W5">
        <f>(Info!AE5-Info!AD5)</f>
        <v>9762550</v>
      </c>
      <c r="X5">
        <f t="shared" si="2"/>
        <v>0</v>
      </c>
      <c r="Y5">
        <f t="shared" si="3"/>
        <v>-5.7603579970681276</v>
      </c>
    </row>
    <row r="6" spans="3:29" x14ac:dyDescent="0.3">
      <c r="P6" s="38">
        <v>5</v>
      </c>
      <c r="Q6" s="39">
        <f>(Info!AE6-Info!AE7)/100000</f>
        <v>15.24025</v>
      </c>
      <c r="R6" s="39">
        <f>(Info!AD6-Info!AD7)/100000</f>
        <v>-7.2270000000000003</v>
      </c>
      <c r="S6" s="36">
        <f>((R6-Q6)*100000)/(Info!AE7-Info!AD7)</f>
        <v>-0.98126330731014899</v>
      </c>
      <c r="T6" s="38">
        <v>4</v>
      </c>
      <c r="U6" s="38">
        <f t="shared" si="0"/>
        <v>-1</v>
      </c>
      <c r="V6" s="13">
        <f t="shared" si="1"/>
        <v>0</v>
      </c>
      <c r="W6">
        <f>(Info!AE6-Info!AD6)</f>
        <v>4536350</v>
      </c>
      <c r="X6">
        <f t="shared" si="2"/>
        <v>0</v>
      </c>
      <c r="Y6">
        <f t="shared" si="3"/>
        <v>-3.925053229240596</v>
      </c>
    </row>
    <row r="7" spans="3:29" x14ac:dyDescent="0.3">
      <c r="P7" s="38">
        <v>6</v>
      </c>
      <c r="Q7" s="39">
        <f>(Info!AE7-Info!AE8)/100000</f>
        <v>16.554749999999999</v>
      </c>
      <c r="R7" s="39">
        <f>(Info!AD7-Info!AD8)/100000</f>
        <v>-16.7805</v>
      </c>
      <c r="S7" s="36">
        <f>((R7-Q7)*100000)/(Info!AE8-Info!AD8)</f>
        <v>3.1933374844333748</v>
      </c>
      <c r="T7" s="38">
        <v>3.25</v>
      </c>
      <c r="U7" s="38">
        <f t="shared" si="0"/>
        <v>1</v>
      </c>
      <c r="V7" s="13">
        <f t="shared" si="1"/>
        <v>3.25</v>
      </c>
      <c r="W7">
        <f>(Info!AE7-Info!AD7)</f>
        <v>2289625</v>
      </c>
      <c r="X7">
        <f t="shared" si="2"/>
        <v>10.378346824408467</v>
      </c>
      <c r="Y7">
        <f t="shared" si="3"/>
        <v>0</v>
      </c>
    </row>
    <row r="8" spans="3:29" x14ac:dyDescent="0.3">
      <c r="P8" s="38">
        <v>7</v>
      </c>
      <c r="Q8" s="39">
        <f>(Info!AE8-Info!AE9)/100000</f>
        <v>14.948499999999999</v>
      </c>
      <c r="R8" s="39">
        <f>(Info!AD8-Info!AD9)/100000</f>
        <v>-11.369</v>
      </c>
      <c r="S8" s="36">
        <f>((R8-Q8)*100000)/(Info!AE9-Info!AD9)</f>
        <v>0.71599581026485115</v>
      </c>
      <c r="T8" s="38">
        <v>2.5</v>
      </c>
      <c r="U8" s="38">
        <f t="shared" si="0"/>
        <v>1</v>
      </c>
      <c r="V8" s="13">
        <f t="shared" si="1"/>
        <v>2.5</v>
      </c>
      <c r="W8">
        <f>(Info!AE9-Info!AD9)</f>
        <v>-3675650</v>
      </c>
      <c r="X8">
        <f t="shared" si="2"/>
        <v>1.7899895256621279</v>
      </c>
      <c r="Y8">
        <f t="shared" si="3"/>
        <v>0</v>
      </c>
    </row>
    <row r="9" spans="3:29" x14ac:dyDescent="0.3">
      <c r="P9" s="29"/>
      <c r="Q9" s="29"/>
      <c r="R9" s="38" t="s">
        <v>72</v>
      </c>
      <c r="S9" s="38">
        <f>SUM(V2:V8)/SUM(T2:T8)</f>
        <v>0.55852842809364545</v>
      </c>
      <c r="T9" s="29"/>
      <c r="W9">
        <f>W8-W2</f>
        <v>-3675650</v>
      </c>
      <c r="X9">
        <f>SUM(X2:X8)</f>
        <v>21.168336350070597</v>
      </c>
      <c r="Y9">
        <f>SUM(Y2:Y8)</f>
        <v>-10.613543476591692</v>
      </c>
    </row>
    <row r="10" spans="3:29" x14ac:dyDescent="0.3">
      <c r="R10" s="38" t="s">
        <v>73</v>
      </c>
      <c r="S10" s="39">
        <f>SUMPRODUCT(S2:S8,T2:T8)</f>
        <v>10.554792873478902</v>
      </c>
      <c r="T10" s="38" t="s">
        <v>74</v>
      </c>
      <c r="U10" s="38">
        <f>X9</f>
        <v>21.168336350070597</v>
      </c>
      <c r="W10">
        <f>W5-W2</f>
        <v>9762550</v>
      </c>
    </row>
    <row r="11" spans="3:29" x14ac:dyDescent="0.3">
      <c r="R11" s="38" t="s">
        <v>75</v>
      </c>
      <c r="S11" s="41">
        <f>(Info!AE2-Info!AD2)</f>
        <v>0</v>
      </c>
      <c r="T11" s="38" t="s">
        <v>76</v>
      </c>
      <c r="U11" s="38">
        <f>ABS(Y9)</f>
        <v>10.613543476591692</v>
      </c>
    </row>
    <row r="12" spans="3:29" x14ac:dyDescent="0.3">
      <c r="R12" s="38" t="s">
        <v>77</v>
      </c>
      <c r="S12" s="40">
        <f>W9</f>
        <v>-3675650</v>
      </c>
      <c r="T12" s="38" t="s">
        <v>78</v>
      </c>
      <c r="U12" s="38">
        <f>U10/(U10+U11)</f>
        <v>0.66605048113963872</v>
      </c>
    </row>
    <row r="13" spans="3:29" x14ac:dyDescent="0.3">
      <c r="R13" s="38" t="s">
        <v>79</v>
      </c>
      <c r="S13" s="40">
        <f>W10</f>
        <v>9762550</v>
      </c>
    </row>
    <row r="15" spans="3:29" x14ac:dyDescent="0.3">
      <c r="I15" s="30"/>
      <c r="J15" s="30">
        <v>1</v>
      </c>
      <c r="K15" s="30">
        <v>8</v>
      </c>
      <c r="L15" s="31" t="s">
        <v>80</v>
      </c>
      <c r="M15" s="30">
        <v>4</v>
      </c>
      <c r="N15" s="30" t="s">
        <v>81</v>
      </c>
      <c r="O15" s="30" t="s">
        <v>82</v>
      </c>
      <c r="P15" s="30" t="s">
        <v>83</v>
      </c>
      <c r="Q15" s="30" t="s">
        <v>84</v>
      </c>
      <c r="R15" s="30" t="s">
        <v>85</v>
      </c>
      <c r="T15" s="30"/>
      <c r="U15" s="30">
        <v>1</v>
      </c>
      <c r="V15" s="30">
        <v>8</v>
      </c>
      <c r="W15" s="31" t="s">
        <v>80</v>
      </c>
      <c r="X15" s="30">
        <v>4</v>
      </c>
      <c r="Y15" s="30" t="s">
        <v>81</v>
      </c>
      <c r="Z15" s="30" t="s">
        <v>82</v>
      </c>
      <c r="AA15" s="30" t="s">
        <v>83</v>
      </c>
      <c r="AB15" s="30" t="s">
        <v>84</v>
      </c>
      <c r="AC15" s="30" t="s">
        <v>85</v>
      </c>
    </row>
    <row r="16" spans="3:29" x14ac:dyDescent="0.3">
      <c r="C16" s="49" t="s">
        <v>86</v>
      </c>
      <c r="D16" s="48"/>
      <c r="E16" s="49"/>
      <c r="F16" s="48"/>
      <c r="G16" s="8" t="s">
        <v>87</v>
      </c>
      <c r="H16" s="50" t="s">
        <v>88</v>
      </c>
      <c r="I16" s="13" t="s">
        <v>89</v>
      </c>
      <c r="J16" s="13">
        <f>Info!AE2/100000</f>
        <v>0</v>
      </c>
      <c r="K16" s="13">
        <f>Info!AE9/100000</f>
        <v>110.223</v>
      </c>
      <c r="L16" s="14">
        <f>J16-K16</f>
        <v>-110.223</v>
      </c>
      <c r="M16" s="13">
        <f>Info!AE5/100000</f>
        <v>187.24275</v>
      </c>
      <c r="N16" s="14">
        <f>J16-M16</f>
        <v>-187.24275</v>
      </c>
      <c r="O16" s="14">
        <f>M16-K16</f>
        <v>77.019750000000002</v>
      </c>
      <c r="P16" s="22">
        <f>J16-J17</f>
        <v>0</v>
      </c>
      <c r="Q16" s="32">
        <f>M16-M17</f>
        <v>97.625500000000002</v>
      </c>
      <c r="R16" s="21">
        <f>K16-K17</f>
        <v>-36.756500000000003</v>
      </c>
      <c r="S16" s="50" t="s">
        <v>88</v>
      </c>
      <c r="T16" s="13" t="s">
        <v>89</v>
      </c>
      <c r="U16" s="13">
        <f>Info!X2/100000</f>
        <v>0</v>
      </c>
      <c r="V16" s="13">
        <f>Info!X9/100000</f>
        <v>201.09549999999999</v>
      </c>
      <c r="W16" s="14">
        <f>U16-V16</f>
        <v>-201.09549999999999</v>
      </c>
      <c r="X16" s="13">
        <f>Info!X5/100000</f>
        <v>131.24125000000001</v>
      </c>
      <c r="Y16" s="14">
        <f>U16-X16</f>
        <v>-131.24125000000001</v>
      </c>
      <c r="Z16" s="14">
        <f>X16-V16</f>
        <v>-69.854249999999979</v>
      </c>
      <c r="AA16" s="22">
        <f>U16-U17</f>
        <v>0</v>
      </c>
      <c r="AB16" s="32">
        <f>X16-X17</f>
        <v>93.541250000000005</v>
      </c>
      <c r="AC16" s="21">
        <f>V16-V17</f>
        <v>127.78424999999999</v>
      </c>
    </row>
    <row r="17" spans="1:29" ht="15.6" customHeight="1" x14ac:dyDescent="0.3">
      <c r="A17" s="8" t="str">
        <f>A20</f>
        <v>PUT</v>
      </c>
      <c r="B17" s="11" t="e">
        <f ca="1">B20</f>
        <v>#DIV/0!</v>
      </c>
      <c r="C17" s="47" t="s">
        <v>90</v>
      </c>
      <c r="D17" s="48"/>
      <c r="E17" s="51" t="e">
        <f>IF(ABS(Info!D47)&gt;0.1,IF(ABS(Info!D59)&gt;0.1,IF(Info!G47&gt;0,IF(Info!G59&gt;0," Bearish","Bulish"),IF(Info!G59&gt;0," Bearish","Bulish")),0),0)</f>
        <v>#DIV/0!</v>
      </c>
      <c r="F17" s="48"/>
      <c r="G17" s="24" t="e">
        <f>IF(Info!G39&gt;1.3,"Berish Reversal",IF(Info!G39&lt;0.7,"Bulish Reversal",0))</f>
        <v>#DIV/0!</v>
      </c>
      <c r="H17" s="46"/>
      <c r="I17" s="13" t="s">
        <v>91</v>
      </c>
      <c r="J17" s="13">
        <f>Info!AD2/100000</f>
        <v>0</v>
      </c>
      <c r="K17" s="13">
        <f>Info!AD9/100000</f>
        <v>146.9795</v>
      </c>
      <c r="L17" s="14">
        <f>J17-K17</f>
        <v>-146.9795</v>
      </c>
      <c r="M17" s="13">
        <f>Info!AD5/100000</f>
        <v>89.617249999999999</v>
      </c>
      <c r="N17" s="14">
        <f>J17-M17</f>
        <v>-89.617249999999999</v>
      </c>
      <c r="O17" s="14">
        <f>M17-K17</f>
        <v>-57.362250000000003</v>
      </c>
      <c r="P17" s="39">
        <f>IF((Info!AE9-Info!AD9)&gt;0,(('Close Outcome'!L17-'Close Outcome'!L16)*100000)/(Info!AE9-Info!AD9),(('Close Outcome'!L17-'Close Outcome'!L16)*100000)/(Info!AD9-Info!AE9))</f>
        <v>-1.0000000000000002</v>
      </c>
      <c r="Q17" s="39">
        <f>IF((Info!AE5-Info!AD5)&gt;0,((N17-N16)*100000)/(Info!AE5-Info!AD5),((N17-N16)*100000)/(Info!AD5-Info!AE5))</f>
        <v>1</v>
      </c>
      <c r="R17" s="39">
        <f>IF((Info!AE9-Info!AD9)&gt;0,((O17-O16)*100000)/(Info!AE9-Info!AD9),((O17-O16)*100000)/(Info!AD9-Info!AE9))</f>
        <v>-3.6560064206330853</v>
      </c>
      <c r="S17" s="46"/>
      <c r="T17" s="13" t="s">
        <v>91</v>
      </c>
      <c r="U17" s="13">
        <f>Info!W2/100000</f>
        <v>0</v>
      </c>
      <c r="V17" s="13">
        <f>Info!W9/100000</f>
        <v>73.311250000000001</v>
      </c>
      <c r="W17" s="14">
        <f>U17-V17</f>
        <v>-73.311250000000001</v>
      </c>
      <c r="X17" s="13">
        <f>Info!W5/100000</f>
        <v>37.700000000000003</v>
      </c>
      <c r="Y17" s="14">
        <f>U17-X17</f>
        <v>-37.700000000000003</v>
      </c>
      <c r="Z17" s="14">
        <f>X17-V17</f>
        <v>-35.611249999999998</v>
      </c>
      <c r="AA17" s="39">
        <f>IF((Info!X9-Info!W9)&gt;0,((W17-W16)*100000)/(Info!X9-Info!W9),((W17-W16)*100000)/(Info!W9-Info!X9))</f>
        <v>0.99999999999999989</v>
      </c>
      <c r="AB17" s="39">
        <f>IF((Info!X5-Info!W5)&gt;0,((Y17-Y16)*100000)/(Info!X5-Info!W5),((Y17-Y16)*100000)/(Info!W5-Info!X5))</f>
        <v>1</v>
      </c>
      <c r="AC17" s="38">
        <f>IF((Info!X9-Info!W9)&gt;0,((Z17-Z16)*100000)/(Info!X9-Info!W9),((Z17-Z16)*100000)/(Info!W9-Info!X9))</f>
        <v>0.26797512212968327</v>
      </c>
    </row>
    <row r="18" spans="1:29" ht="15.6" customHeight="1" x14ac:dyDescent="0.3">
      <c r="A18" s="8" t="str">
        <f>A21</f>
        <v>Call</v>
      </c>
      <c r="B18" s="11" t="e">
        <f ca="1">B21</f>
        <v>#DIV/0!</v>
      </c>
      <c r="C18" s="47" t="s">
        <v>92</v>
      </c>
      <c r="D18" s="48"/>
      <c r="E18" s="51" t="e">
        <f>IF(ABS(Info!G47)&gt;0.1,IF(ABS(Info!G59)&gt;0.1,IF(Info!G47&gt;0,IF(Info!G59&gt;0," Bearish","Bulish"),IF(Info!G59&gt;0," Bearish","Bulish")),0),0)</f>
        <v>#DIV/0!</v>
      </c>
      <c r="F18" s="48"/>
      <c r="G18" s="24" t="e">
        <f>IF(Info!D39&gt;1.3,"Berish Reversal",IF(Info!D39&lt;0.7,"Bulish Reversal",0))</f>
        <v>#DIV/0!</v>
      </c>
      <c r="H18" s="45" t="s">
        <v>93</v>
      </c>
      <c r="I18" s="13" t="s">
        <v>89</v>
      </c>
      <c r="J18" s="13">
        <f>Info!AE20/100000</f>
        <v>0</v>
      </c>
      <c r="K18" s="13">
        <f>Info!AE27/100000</f>
        <v>46.137749999999997</v>
      </c>
      <c r="L18" s="14">
        <f>J18-K18</f>
        <v>-46.137749999999997</v>
      </c>
      <c r="M18" s="13">
        <f>Info!AE23/100000</f>
        <v>71.152749999999997</v>
      </c>
      <c r="N18" s="14">
        <f>J18-M18</f>
        <v>-71.152749999999997</v>
      </c>
      <c r="O18" s="14">
        <f>M18-K18</f>
        <v>25.015000000000001</v>
      </c>
      <c r="P18" s="22">
        <f>J19-J18</f>
        <v>0</v>
      </c>
      <c r="Q18" s="32">
        <f>M19-M18</f>
        <v>96.075250000000011</v>
      </c>
      <c r="R18" s="21">
        <f>K19-K18</f>
        <v>110.4225</v>
      </c>
      <c r="S18" s="45" t="s">
        <v>93</v>
      </c>
      <c r="T18" s="13" t="s">
        <v>89</v>
      </c>
      <c r="U18" s="13">
        <f>Info!X20/100000</f>
        <v>0</v>
      </c>
      <c r="V18" s="13">
        <f>Info!X27/100000</f>
        <v>7.9465000000000003</v>
      </c>
      <c r="W18" s="14">
        <f>U18-V18</f>
        <v>-7.9465000000000003</v>
      </c>
      <c r="X18" s="13">
        <f>Info!X23/100000</f>
        <v>15.541499999999999</v>
      </c>
      <c r="Y18" s="14">
        <f>U18-X18</f>
        <v>-15.541499999999999</v>
      </c>
      <c r="Z18" s="14">
        <f>X18-V18</f>
        <v>7.5949999999999989</v>
      </c>
      <c r="AA18" s="22">
        <f>U19-U18</f>
        <v>0</v>
      </c>
      <c r="AB18" s="32">
        <f>X19-X18</f>
        <v>37.593499999999999</v>
      </c>
      <c r="AC18" s="21">
        <f>V19-V18</f>
        <v>56.087249999999997</v>
      </c>
    </row>
    <row r="19" spans="1:29" ht="15.6" customHeight="1" x14ac:dyDescent="0.3">
      <c r="C19" s="47" t="s">
        <v>94</v>
      </c>
      <c r="D19" s="48"/>
      <c r="E19" s="51" t="e">
        <f>IF(ABS(Info!H47)&gt;0.1,IF(ABS(Info!H59)&gt;0.1,IF(Info!H47&gt;0,IF(Info!H59&gt;0," Bearish","Bulish"),IF(Info!H59&gt;0," Bearish","Bulish")),0),0)</f>
        <v>#N/A</v>
      </c>
      <c r="F19" s="48"/>
      <c r="G19" s="24" t="e">
        <f>IF(Entry!A4&gt;1.3,"Berish Reversal",IF(Entry!A4&lt;0.7,"Bulish Reversal",0))</f>
        <v>#N/A</v>
      </c>
      <c r="H19" s="46"/>
      <c r="I19" s="13" t="s">
        <v>91</v>
      </c>
      <c r="J19" s="13">
        <f>Info!AD20/100000</f>
        <v>0</v>
      </c>
      <c r="K19" s="13">
        <f>Info!AD27/100000</f>
        <v>156.56025</v>
      </c>
      <c r="L19" s="14">
        <f>J19-K19</f>
        <v>-156.56025</v>
      </c>
      <c r="M19" s="13">
        <f>Info!AD23/100000</f>
        <v>167.22800000000001</v>
      </c>
      <c r="N19" s="14">
        <f>J19-M19</f>
        <v>-167.22800000000001</v>
      </c>
      <c r="O19" s="14">
        <f>M19-K19</f>
        <v>10.667750000000012</v>
      </c>
      <c r="P19" s="39">
        <f>IF((Info!AD27-Info!AE27)&gt;0,((L18-L19)*100000)/(Info!AD27-Info!AE27),((L18-L19)*100000)/(Info!AE27-Info!AD27))</f>
        <v>1</v>
      </c>
      <c r="Q19" s="39">
        <f>IF((Info!AD23-Info!AE23)&gt;0,((N18-N19)*100000)/(Info!AD23-Info!AE23),((N18-N19)*100000)/(Info!AE23-Info!AD23))</f>
        <v>1.0000000000000002</v>
      </c>
      <c r="R19" s="39">
        <f>IF((Info!AD27-Info!AE27)&gt;0,((O18-O19)*100000)/(Info!AD27-Info!AE27),((O18-O19)*100000)/(Info!AE27-Info!AD27))</f>
        <v>0.12993049423804015</v>
      </c>
      <c r="S19" s="46"/>
      <c r="T19" s="13" t="s">
        <v>91</v>
      </c>
      <c r="U19" s="13">
        <f>Info!W20/100000</f>
        <v>0</v>
      </c>
      <c r="V19" s="13">
        <f>Info!W27/100000</f>
        <v>64.033749999999998</v>
      </c>
      <c r="W19" s="14">
        <f>U19-V19</f>
        <v>-64.033749999999998</v>
      </c>
      <c r="X19" s="13">
        <f>Info!W23/100000</f>
        <v>53.134999999999998</v>
      </c>
      <c r="Y19" s="14">
        <f>U19-X19</f>
        <v>-53.134999999999998</v>
      </c>
      <c r="Z19" s="14">
        <f>X19-V19</f>
        <v>-10.89875</v>
      </c>
      <c r="AA19" s="39">
        <f>IF((Info!W27-Info!X27)&gt;0,((W18-W19)*100000)/(Info!W27-Info!X27),((W18-W19)*100000)/(Info!X27-Info!W27))</f>
        <v>1</v>
      </c>
      <c r="AB19" s="39">
        <f>IF((Info!W23-Info!X23)&gt;0,((Y18-Y19)*100000)/(Info!W23-Info!X23),((Y18-Y19)*100000)/(Info!X23-Info!W23))</f>
        <v>1</v>
      </c>
      <c r="AC19" s="39">
        <f>IF((Info!W27-Info!X27)&gt;0,((Z18-Z19)*100000)/(Info!W27-Info!X27),((Z18-Z19)*100000)/(Info!X27-Info!W27))</f>
        <v>0.32973180179095957</v>
      </c>
    </row>
    <row r="20" spans="1:29" x14ac:dyDescent="0.3">
      <c r="A20" s="8" t="s">
        <v>89</v>
      </c>
      <c r="B20" s="8" t="e">
        <f ca="1">VLOOKUP(Info!AN49,Info!AN39:AO48,2,FALSE)</f>
        <v>#DIV/0!</v>
      </c>
    </row>
    <row r="21" spans="1:29" x14ac:dyDescent="0.3">
      <c r="A21" s="8" t="s">
        <v>55</v>
      </c>
      <c r="B21" s="8" t="e">
        <f ca="1">VLOOKUP(Info!AM49,Info!AM39:AO48,3,FALSE)</f>
        <v>#DIV/0!</v>
      </c>
      <c r="P21" s="38"/>
      <c r="Q21" s="38" t="s">
        <v>68</v>
      </c>
      <c r="R21" s="38" t="s">
        <v>69</v>
      </c>
      <c r="S21" s="38" t="s">
        <v>70</v>
      </c>
      <c r="T21" s="38" t="s">
        <v>71</v>
      </c>
      <c r="U21" s="38"/>
      <c r="V21" s="13"/>
    </row>
    <row r="22" spans="1:29" x14ac:dyDescent="0.3">
      <c r="P22" s="38">
        <v>1</v>
      </c>
      <c r="Q22" s="39">
        <f>(Info!AE20-Info!AE21)/100000</f>
        <v>-64.774249999999995</v>
      </c>
      <c r="R22" s="39">
        <f>(Info!AD20-Info!AD21)/100000</f>
        <v>-150.41650000000001</v>
      </c>
      <c r="S22" s="37">
        <f>((Q22-R22)*100000)/(Info!AD21-Info!AE21)</f>
        <v>1.0000000000000002</v>
      </c>
      <c r="T22" s="38">
        <v>9</v>
      </c>
      <c r="U22" s="38">
        <f t="shared" ref="U22:U28" si="4">IF(S22&lt;0,-1,1)</f>
        <v>1</v>
      </c>
      <c r="V22" s="13">
        <f t="shared" ref="V22:V28" si="5">IF(U22&gt;0,U22*T22,0)</f>
        <v>9</v>
      </c>
      <c r="W22">
        <f>(Info!AD20-Info!AE20)</f>
        <v>0</v>
      </c>
      <c r="X22">
        <f t="shared" ref="X22:X28" si="6">S22*V22</f>
        <v>9.0000000000000018</v>
      </c>
      <c r="Y22">
        <f t="shared" ref="Y22:Y28" si="7">S22*IF(U22&lt;0,T22,0)</f>
        <v>0</v>
      </c>
    </row>
    <row r="23" spans="1:29" x14ac:dyDescent="0.3">
      <c r="P23" s="38">
        <v>2</v>
      </c>
      <c r="Q23" s="39">
        <f>(Info!AE21-Info!AE22)/100000</f>
        <v>-6.3784999999999998</v>
      </c>
      <c r="R23" s="39">
        <f>(Info!AD21-Info!AD22)/100000</f>
        <v>-16.811499999999999</v>
      </c>
      <c r="S23" s="37">
        <f>((Q23-R23)*100000)/(Info!AD22-Info!AE22)</f>
        <v>0.10859196307061392</v>
      </c>
      <c r="T23" s="38">
        <v>7.5</v>
      </c>
      <c r="U23" s="38">
        <f t="shared" si="4"/>
        <v>1</v>
      </c>
      <c r="V23" s="13">
        <f t="shared" si="5"/>
        <v>7.5</v>
      </c>
      <c r="W23">
        <f>(Info!AD21-Info!AE21)</f>
        <v>8564225</v>
      </c>
      <c r="X23">
        <f t="shared" si="6"/>
        <v>0.81443972302960432</v>
      </c>
      <c r="Y23">
        <f t="shared" si="7"/>
        <v>0</v>
      </c>
    </row>
    <row r="24" spans="1:29" x14ac:dyDescent="0.3">
      <c r="P24" s="38">
        <v>3</v>
      </c>
      <c r="Q24" s="39">
        <f>(Info!AE22-Info!AE23)/100000</f>
        <v>0</v>
      </c>
      <c r="R24" s="39">
        <f>(Info!AD22-Info!AD23)/100000</f>
        <v>0</v>
      </c>
      <c r="S24" s="37">
        <f>((Q24-R24)*100000)/(Info!AD23-Info!AE23)</f>
        <v>0</v>
      </c>
      <c r="T24" s="38">
        <v>6.125</v>
      </c>
      <c r="U24" s="38">
        <f t="shared" si="4"/>
        <v>1</v>
      </c>
      <c r="V24" s="13">
        <f t="shared" si="5"/>
        <v>6.125</v>
      </c>
      <c r="W24">
        <f>(Info!AD22-Info!AE22)</f>
        <v>9607525</v>
      </c>
      <c r="X24">
        <f t="shared" si="6"/>
        <v>0</v>
      </c>
      <c r="Y24">
        <f t="shared" si="7"/>
        <v>0</v>
      </c>
    </row>
    <row r="25" spans="1:29" x14ac:dyDescent="0.3">
      <c r="P25" s="38">
        <v>4</v>
      </c>
      <c r="Q25" s="39">
        <f>(Info!AE23-Info!AE24)/100000</f>
        <v>12.94875</v>
      </c>
      <c r="R25" s="39">
        <f>(Info!AD23-Info!AD24)/100000</f>
        <v>-14.785</v>
      </c>
      <c r="S25" s="37">
        <f>((Q25-R25)*100000)/(Info!AD24-Info!AE24)</f>
        <v>0.2240043130951708</v>
      </c>
      <c r="T25" s="38">
        <v>5</v>
      </c>
      <c r="U25" s="38">
        <f t="shared" si="4"/>
        <v>1</v>
      </c>
      <c r="V25" s="13">
        <f t="shared" si="5"/>
        <v>5</v>
      </c>
      <c r="W25">
        <f>(Info!AD23-Info!AE23)</f>
        <v>9607525</v>
      </c>
      <c r="X25">
        <f t="shared" si="6"/>
        <v>1.1200215654758541</v>
      </c>
      <c r="Y25">
        <f t="shared" si="7"/>
        <v>0</v>
      </c>
    </row>
    <row r="26" spans="1:29" x14ac:dyDescent="0.3">
      <c r="P26" s="38">
        <v>5</v>
      </c>
      <c r="Q26" s="39">
        <f>(Info!AE24-Info!AE25)/100000</f>
        <v>8.2072500000000002</v>
      </c>
      <c r="R26" s="39">
        <f>(Info!AD24-Info!AD25)/100000</f>
        <v>12.259</v>
      </c>
      <c r="S26" s="37">
        <f>((Q26-R26)*100000)/(Info!AD25-Info!AE25)</f>
        <v>-3.3833024722929095E-2</v>
      </c>
      <c r="T26" s="38">
        <v>4</v>
      </c>
      <c r="U26" s="38">
        <f t="shared" si="4"/>
        <v>-1</v>
      </c>
      <c r="V26" s="13">
        <f t="shared" si="5"/>
        <v>0</v>
      </c>
      <c r="W26">
        <f>(Info!AD24-Info!AE24)</f>
        <v>12380900</v>
      </c>
      <c r="X26">
        <f t="shared" si="6"/>
        <v>0</v>
      </c>
      <c r="Y26">
        <f t="shared" si="7"/>
        <v>-0.13533209889171638</v>
      </c>
    </row>
    <row r="27" spans="1:29" x14ac:dyDescent="0.3">
      <c r="P27" s="38">
        <v>6</v>
      </c>
      <c r="Q27" s="39">
        <f>(Info!AE25-Info!AE26)/100000</f>
        <v>2.87825</v>
      </c>
      <c r="R27" s="39">
        <f>(Info!AD25-Info!AD26)/100000</f>
        <v>9.0002499999999994</v>
      </c>
      <c r="S27" s="37">
        <f>((Q27-R27)*100000)/(Info!AD26-Info!AE26)</f>
        <v>-5.387412796645407E-2</v>
      </c>
      <c r="T27" s="38">
        <v>3.25</v>
      </c>
      <c r="U27" s="38">
        <f t="shared" si="4"/>
        <v>-1</v>
      </c>
      <c r="V27" s="13">
        <f t="shared" si="5"/>
        <v>0</v>
      </c>
      <c r="W27">
        <f>(Info!AD25-Info!AE25)</f>
        <v>11975725</v>
      </c>
      <c r="X27">
        <f t="shared" si="6"/>
        <v>0</v>
      </c>
      <c r="Y27">
        <f t="shared" si="7"/>
        <v>-0.17509091589097572</v>
      </c>
    </row>
    <row r="28" spans="1:29" x14ac:dyDescent="0.3">
      <c r="P28" s="25">
        <v>7</v>
      </c>
      <c r="Q28" s="39">
        <f>(Info!AE26-Info!AE27)/100000</f>
        <v>0.98075000000000001</v>
      </c>
      <c r="R28" s="39">
        <f>(Info!AD26-Info!AD27)/100000</f>
        <v>4.1935000000000002</v>
      </c>
      <c r="S28" s="37">
        <f>((Q28-R28)*100000)/(Info!AD27-Info!AE27)</f>
        <v>-2.9095066675722793E-2</v>
      </c>
      <c r="T28" s="38">
        <v>2.5</v>
      </c>
      <c r="U28" s="38">
        <f t="shared" si="4"/>
        <v>-1</v>
      </c>
      <c r="V28" s="13">
        <f t="shared" si="5"/>
        <v>0</v>
      </c>
      <c r="W28">
        <f>(Info!AD27-Info!AE27)</f>
        <v>11042250</v>
      </c>
      <c r="X28">
        <f t="shared" si="6"/>
        <v>0</v>
      </c>
      <c r="Y28">
        <f t="shared" si="7"/>
        <v>-7.2737666689306979E-2</v>
      </c>
    </row>
    <row r="29" spans="1:29" x14ac:dyDescent="0.3">
      <c r="R29" s="38" t="s">
        <v>72</v>
      </c>
      <c r="S29" s="38">
        <f>SUM(V22:V28)/SUM(T22:T28)</f>
        <v>0.73913043478260865</v>
      </c>
      <c r="W29">
        <f>W28-W22</f>
        <v>11042250</v>
      </c>
      <c r="X29">
        <f>SUM(X22:X28)</f>
        <v>10.93446128850546</v>
      </c>
      <c r="Y29">
        <f>SUM(Y22:Y28)</f>
        <v>-0.38316068147199905</v>
      </c>
    </row>
    <row r="30" spans="1:29" x14ac:dyDescent="0.3">
      <c r="R30" s="38" t="s">
        <v>73</v>
      </c>
      <c r="S30" s="39">
        <f>SUMPRODUCT(S22:S28,T22:T28)</f>
        <v>10.551300607033461</v>
      </c>
      <c r="T30" s="38" t="s">
        <v>74</v>
      </c>
      <c r="U30" s="38">
        <f>X29</f>
        <v>10.93446128850546</v>
      </c>
      <c r="W30">
        <f>W25-W22</f>
        <v>9607525</v>
      </c>
    </row>
    <row r="31" spans="1:29" x14ac:dyDescent="0.3">
      <c r="R31" s="38" t="s">
        <v>75</v>
      </c>
      <c r="S31" s="41">
        <f>(Info!AD20-Info!AE20)</f>
        <v>0</v>
      </c>
      <c r="T31" s="38" t="s">
        <v>76</v>
      </c>
      <c r="U31" s="38">
        <f>ABS(Y29)</f>
        <v>0.38316068147199905</v>
      </c>
    </row>
    <row r="32" spans="1:29" x14ac:dyDescent="0.3">
      <c r="R32" s="38" t="s">
        <v>77</v>
      </c>
      <c r="S32" s="40">
        <f>W29</f>
        <v>11042250</v>
      </c>
      <c r="T32" s="38" t="s">
        <v>78</v>
      </c>
      <c r="U32" s="38">
        <f>U30/(U30+U31)</f>
        <v>0.96614477118175368</v>
      </c>
    </row>
    <row r="33" spans="18:19" x14ac:dyDescent="0.3">
      <c r="R33" s="38" t="s">
        <v>79</v>
      </c>
      <c r="S33" s="40">
        <f>W30</f>
        <v>9607525</v>
      </c>
    </row>
  </sheetData>
  <autoFilter ref="A1:V30" xr:uid="{00000000-0009-0000-0000-000005000000}"/>
  <mergeCells count="12">
    <mergeCell ref="S18:S19"/>
    <mergeCell ref="C17:D17"/>
    <mergeCell ref="E16:F16"/>
    <mergeCell ref="C16:D16"/>
    <mergeCell ref="H16:H17"/>
    <mergeCell ref="E19:F19"/>
    <mergeCell ref="C19:D19"/>
    <mergeCell ref="C18:D18"/>
    <mergeCell ref="E17:F17"/>
    <mergeCell ref="E18:F18"/>
    <mergeCell ref="S16:S17"/>
    <mergeCell ref="H18:H19"/>
  </mergeCells>
  <conditionalFormatting sqref="Q1:Q8">
    <cfRule type="cellIs" dxfId="17" priority="4" operator="lessThan">
      <formula>0</formula>
    </cfRule>
  </conditionalFormatting>
  <conditionalFormatting sqref="R1:R8">
    <cfRule type="cellIs" dxfId="16" priority="3" operator="lessThan">
      <formula>0</formula>
    </cfRule>
  </conditionalFormatting>
  <conditionalFormatting sqref="Q21:Q28">
    <cfRule type="cellIs" dxfId="15" priority="2" operator="lessThan">
      <formula>0</formula>
    </cfRule>
  </conditionalFormatting>
  <conditionalFormatting sqref="R21:R28">
    <cfRule type="cellIs" dxfId="14" priority="1" operator="lessThan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"/>
  <sheetViews>
    <sheetView topLeftCell="B1" zoomScale="80" zoomScaleNormal="80" workbookViewId="0">
      <selection activeCell="B8" sqref="B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G12"/>
  <sheetViews>
    <sheetView workbookViewId="0">
      <selection activeCell="F14" sqref="F14"/>
    </sheetView>
  </sheetViews>
  <sheetFormatPr defaultColWidth="35.33203125" defaultRowHeight="14.4" x14ac:dyDescent="0.3"/>
  <cols>
    <col min="1" max="2" width="5.5546875" style="28" bestFit="1" customWidth="1"/>
    <col min="3" max="7" width="35.33203125" style="15" customWidth="1"/>
  </cols>
  <sheetData>
    <row r="1" spans="1:7" x14ac:dyDescent="0.3">
      <c r="A1" s="52" t="s">
        <v>95</v>
      </c>
      <c r="B1" s="53"/>
      <c r="C1" s="53"/>
      <c r="D1" s="53"/>
      <c r="E1" s="53"/>
      <c r="F1" s="53"/>
      <c r="G1" s="48"/>
    </row>
    <row r="2" spans="1:7" x14ac:dyDescent="0.3">
      <c r="A2" s="17" t="s">
        <v>96</v>
      </c>
      <c r="B2" s="17" t="s">
        <v>97</v>
      </c>
      <c r="C2" s="18" t="s">
        <v>98</v>
      </c>
      <c r="D2" s="18" t="s">
        <v>99</v>
      </c>
      <c r="E2" s="18" t="s">
        <v>100</v>
      </c>
      <c r="F2" s="18" t="s">
        <v>101</v>
      </c>
      <c r="G2" s="18" t="s">
        <v>102</v>
      </c>
    </row>
    <row r="3" spans="1:7" ht="28.8" customHeight="1" x14ac:dyDescent="0.3">
      <c r="A3" s="20">
        <v>0.38541666666666669</v>
      </c>
      <c r="B3" s="19">
        <v>0.38680555555555562</v>
      </c>
      <c r="C3" s="16" t="s">
        <v>103</v>
      </c>
      <c r="D3" s="16" t="s">
        <v>103</v>
      </c>
      <c r="E3" s="16" t="s">
        <v>103</v>
      </c>
      <c r="F3" s="16" t="s">
        <v>103</v>
      </c>
      <c r="G3" s="16" t="s">
        <v>104</v>
      </c>
    </row>
    <row r="4" spans="1:7" x14ac:dyDescent="0.3">
      <c r="A4" s="20">
        <v>0.38541666666666669</v>
      </c>
      <c r="B4" s="19">
        <v>0.4375</v>
      </c>
      <c r="C4" s="16" t="s">
        <v>105</v>
      </c>
      <c r="D4" s="16" t="s">
        <v>105</v>
      </c>
      <c r="E4" s="16" t="s">
        <v>105</v>
      </c>
      <c r="F4" s="16" t="s">
        <v>105</v>
      </c>
      <c r="G4" s="16" t="s">
        <v>105</v>
      </c>
    </row>
    <row r="5" spans="1:7" x14ac:dyDescent="0.3">
      <c r="A5" s="20">
        <v>0.39583333333333331</v>
      </c>
      <c r="B5" s="19">
        <v>0.4375</v>
      </c>
      <c r="C5" s="16" t="s">
        <v>106</v>
      </c>
      <c r="D5" s="16" t="s">
        <v>106</v>
      </c>
      <c r="E5" s="16" t="s">
        <v>106</v>
      </c>
      <c r="F5" s="16" t="s">
        <v>106</v>
      </c>
      <c r="G5" s="16" t="s">
        <v>106</v>
      </c>
    </row>
    <row r="6" spans="1:7" x14ac:dyDescent="0.3">
      <c r="A6" s="20">
        <v>0.57291666666666663</v>
      </c>
      <c r="B6" s="19">
        <v>0.61458333333333337</v>
      </c>
      <c r="C6" s="16" t="s">
        <v>107</v>
      </c>
      <c r="D6" s="16" t="s">
        <v>107</v>
      </c>
      <c r="E6" s="16" t="s">
        <v>107</v>
      </c>
      <c r="F6" s="16" t="s">
        <v>107</v>
      </c>
      <c r="G6" s="16" t="s">
        <v>107</v>
      </c>
    </row>
    <row r="7" spans="1:7" x14ac:dyDescent="0.3">
      <c r="A7" s="20">
        <v>0.58333333333333337</v>
      </c>
      <c r="B7" s="19">
        <v>0.625</v>
      </c>
      <c r="C7" s="16" t="s">
        <v>108</v>
      </c>
      <c r="D7" s="16" t="s">
        <v>108</v>
      </c>
      <c r="E7" s="16" t="s">
        <v>108</v>
      </c>
      <c r="F7" s="16" t="s">
        <v>108</v>
      </c>
      <c r="G7" s="16" t="s">
        <v>108</v>
      </c>
    </row>
    <row r="8" spans="1:7" ht="28.8" customHeight="1" x14ac:dyDescent="0.3">
      <c r="A8" s="20">
        <v>0.625</v>
      </c>
      <c r="B8" s="19">
        <v>0.63888888888888884</v>
      </c>
      <c r="C8" s="16" t="s">
        <v>109</v>
      </c>
      <c r="D8" s="16" t="s">
        <v>109</v>
      </c>
      <c r="E8" s="16" t="s">
        <v>109</v>
      </c>
      <c r="F8" s="16" t="s">
        <v>110</v>
      </c>
      <c r="G8" s="16" t="s">
        <v>109</v>
      </c>
    </row>
    <row r="9" spans="1:7" ht="43.2" customHeight="1" x14ac:dyDescent="0.3">
      <c r="A9" s="20">
        <v>0.625</v>
      </c>
      <c r="B9" s="19">
        <v>0.64583333333333337</v>
      </c>
      <c r="C9" s="16" t="s">
        <v>109</v>
      </c>
      <c r="D9" s="16" t="s">
        <v>109</v>
      </c>
      <c r="E9" s="16" t="s">
        <v>109</v>
      </c>
      <c r="F9" s="16" t="s">
        <v>111</v>
      </c>
      <c r="G9" s="16" t="s">
        <v>109</v>
      </c>
    </row>
    <row r="11" spans="1:7" ht="57.6" customHeight="1" x14ac:dyDescent="0.3">
      <c r="C11" s="15" t="s">
        <v>112</v>
      </c>
      <c r="D11" s="15" t="s">
        <v>113</v>
      </c>
      <c r="E11" s="15" t="s">
        <v>114</v>
      </c>
      <c r="F11" s="15" t="s">
        <v>115</v>
      </c>
      <c r="G11" s="15" t="s">
        <v>116</v>
      </c>
    </row>
    <row r="12" spans="1:7" x14ac:dyDescent="0.3">
      <c r="C12" s="15" t="s">
        <v>117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B7F9F-1DFB-469B-9BEE-42ACD457F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Entry</vt:lpstr>
      <vt:lpstr>Sheet1</vt:lpstr>
      <vt:lpstr>Data Dump</vt:lpstr>
      <vt:lpstr>abcd (2)</vt:lpstr>
      <vt:lpstr>Data</vt:lpstr>
      <vt:lpstr>Info</vt:lpstr>
      <vt:lpstr>Close Outcome</vt:lpstr>
      <vt:lpstr>Long</vt:lpstr>
      <vt:lpstr>day strategy</vt:lpstr>
      <vt:lpstr>'Close Outcome'!Print_Area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Nagaich</cp:lastModifiedBy>
  <dcterms:created xsi:type="dcterms:W3CDTF">2006-09-16T00:00:00Z</dcterms:created>
  <dcterms:modified xsi:type="dcterms:W3CDTF">2026-04-21T09:49:58Z</dcterms:modified>
</cp:coreProperties>
</file>